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ublic_html\data\"/>
    </mc:Choice>
  </mc:AlternateContent>
  <bookViews>
    <workbookView xWindow="0" yWindow="0" windowWidth="21570" windowHeight="7770" activeTab="4"/>
  </bookViews>
  <sheets>
    <sheet name="Chart1" sheetId="2" r:id="rId1"/>
    <sheet name="Chart2" sheetId="3" r:id="rId2"/>
    <sheet name="Chart3" sheetId="4" r:id="rId3"/>
    <sheet name="Chart4" sheetId="5" r:id="rId4"/>
    <sheet name="Shee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6" i="1" l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4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2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4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4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2" i="1"/>
  <c r="F13" i="1"/>
  <c r="H13" i="1" s="1"/>
  <c r="F21" i="1"/>
  <c r="F24" i="1"/>
  <c r="F26" i="1"/>
  <c r="H26" i="1" s="1"/>
  <c r="F27" i="1"/>
  <c r="H27" i="1" s="1"/>
  <c r="F29" i="1"/>
  <c r="F37" i="1"/>
  <c r="F40" i="1"/>
  <c r="F45" i="1"/>
  <c r="F48" i="1"/>
  <c r="F61" i="1"/>
  <c r="F64" i="1"/>
  <c r="F66" i="1"/>
  <c r="H66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45" i="1"/>
  <c r="C3" i="1"/>
  <c r="F3" i="1" s="1"/>
  <c r="H3" i="1" s="1"/>
  <c r="C4" i="1"/>
  <c r="F4" i="1" s="1"/>
  <c r="H4" i="1" s="1"/>
  <c r="C5" i="1"/>
  <c r="F5" i="1" s="1"/>
  <c r="H5" i="1" s="1"/>
  <c r="C6" i="1"/>
  <c r="F6" i="1" s="1"/>
  <c r="H6" i="1" s="1"/>
  <c r="C7" i="1"/>
  <c r="F7" i="1" s="1"/>
  <c r="C8" i="1"/>
  <c r="F8" i="1" s="1"/>
  <c r="C9" i="1"/>
  <c r="F9" i="1" s="1"/>
  <c r="H9" i="1" s="1"/>
  <c r="C10" i="1"/>
  <c r="F10" i="1" s="1"/>
  <c r="H10" i="1" s="1"/>
  <c r="C11" i="1"/>
  <c r="F11" i="1" s="1"/>
  <c r="H11" i="1" s="1"/>
  <c r="C12" i="1"/>
  <c r="F12" i="1" s="1"/>
  <c r="H12" i="1" s="1"/>
  <c r="C13" i="1"/>
  <c r="C14" i="1"/>
  <c r="F14" i="1" s="1"/>
  <c r="H14" i="1" s="1"/>
  <c r="C15" i="1"/>
  <c r="F15" i="1" s="1"/>
  <c r="C16" i="1"/>
  <c r="F16" i="1" s="1"/>
  <c r="C17" i="1"/>
  <c r="F17" i="1" s="1"/>
  <c r="H17" i="1" s="1"/>
  <c r="C18" i="1"/>
  <c r="F18" i="1" s="1"/>
  <c r="H18" i="1" s="1"/>
  <c r="C19" i="1"/>
  <c r="F19" i="1" s="1"/>
  <c r="H19" i="1" s="1"/>
  <c r="C20" i="1"/>
  <c r="F20" i="1" s="1"/>
  <c r="H20" i="1" s="1"/>
  <c r="C21" i="1"/>
  <c r="C22" i="1"/>
  <c r="F22" i="1" s="1"/>
  <c r="H22" i="1" s="1"/>
  <c r="C23" i="1"/>
  <c r="F23" i="1" s="1"/>
  <c r="C24" i="1"/>
  <c r="C25" i="1"/>
  <c r="F25" i="1" s="1"/>
  <c r="H25" i="1" s="1"/>
  <c r="C26" i="1"/>
  <c r="C27" i="1"/>
  <c r="C28" i="1"/>
  <c r="F28" i="1" s="1"/>
  <c r="H28" i="1" s="1"/>
  <c r="C29" i="1"/>
  <c r="C30" i="1"/>
  <c r="F30" i="1" s="1"/>
  <c r="H30" i="1" s="1"/>
  <c r="C31" i="1"/>
  <c r="F31" i="1" s="1"/>
  <c r="C32" i="1"/>
  <c r="F32" i="1" s="1"/>
  <c r="C33" i="1"/>
  <c r="F33" i="1" s="1"/>
  <c r="H33" i="1" s="1"/>
  <c r="C34" i="1"/>
  <c r="F34" i="1" s="1"/>
  <c r="H34" i="1" s="1"/>
  <c r="C35" i="1"/>
  <c r="F35" i="1" s="1"/>
  <c r="H35" i="1" s="1"/>
  <c r="C36" i="1"/>
  <c r="F36" i="1" s="1"/>
  <c r="H36" i="1" s="1"/>
  <c r="C37" i="1"/>
  <c r="C38" i="1"/>
  <c r="F38" i="1" s="1"/>
  <c r="H38" i="1" s="1"/>
  <c r="C39" i="1"/>
  <c r="F39" i="1" s="1"/>
  <c r="C40" i="1"/>
  <c r="C41" i="1"/>
  <c r="F41" i="1" s="1"/>
  <c r="H41" i="1" s="1"/>
  <c r="C42" i="1"/>
  <c r="F42" i="1" s="1"/>
  <c r="H42" i="1" s="1"/>
  <c r="C43" i="1"/>
  <c r="F43" i="1" s="1"/>
  <c r="H43" i="1" s="1"/>
  <c r="C44" i="1"/>
  <c r="F44" i="1" s="1"/>
  <c r="H44" i="1" s="1"/>
  <c r="C45" i="1"/>
  <c r="C46" i="1"/>
  <c r="F46" i="1" s="1"/>
  <c r="H46" i="1" s="1"/>
  <c r="C47" i="1"/>
  <c r="F47" i="1" s="1"/>
  <c r="C48" i="1"/>
  <c r="C49" i="1"/>
  <c r="F49" i="1" s="1"/>
  <c r="H49" i="1" s="1"/>
  <c r="C50" i="1"/>
  <c r="F50" i="1" s="1"/>
  <c r="H50" i="1" s="1"/>
  <c r="C51" i="1"/>
  <c r="F51" i="1" s="1"/>
  <c r="H51" i="1" s="1"/>
  <c r="C52" i="1"/>
  <c r="F52" i="1" s="1"/>
  <c r="H52" i="1" s="1"/>
  <c r="C53" i="1"/>
  <c r="F53" i="1" s="1"/>
  <c r="H53" i="1" s="1"/>
  <c r="C54" i="1"/>
  <c r="F54" i="1" s="1"/>
  <c r="H54" i="1" s="1"/>
  <c r="C55" i="1"/>
  <c r="F55" i="1" s="1"/>
  <c r="C56" i="1"/>
  <c r="F56" i="1" s="1"/>
  <c r="C57" i="1"/>
  <c r="F57" i="1" s="1"/>
  <c r="H57" i="1" s="1"/>
  <c r="C58" i="1"/>
  <c r="F58" i="1" s="1"/>
  <c r="H58" i="1" s="1"/>
  <c r="C59" i="1"/>
  <c r="F59" i="1" s="1"/>
  <c r="H59" i="1" s="1"/>
  <c r="C60" i="1"/>
  <c r="F60" i="1" s="1"/>
  <c r="H60" i="1" s="1"/>
  <c r="C61" i="1"/>
  <c r="C62" i="1"/>
  <c r="F62" i="1" s="1"/>
  <c r="H62" i="1" s="1"/>
  <c r="C63" i="1"/>
  <c r="F63" i="1" s="1"/>
  <c r="C64" i="1"/>
  <c r="C65" i="1"/>
  <c r="F65" i="1" s="1"/>
  <c r="H65" i="1" s="1"/>
  <c r="C66" i="1"/>
  <c r="C67" i="1"/>
  <c r="F67" i="1" s="1"/>
  <c r="H67" i="1" s="1"/>
  <c r="C68" i="1"/>
  <c r="F68" i="1" s="1"/>
  <c r="H68" i="1" s="1"/>
  <c r="C2" i="1"/>
  <c r="F2" i="1" s="1"/>
  <c r="Q2" i="1" s="1"/>
  <c r="H37" i="1" l="1"/>
  <c r="H45" i="1"/>
  <c r="H63" i="1"/>
  <c r="H55" i="1"/>
  <c r="H47" i="1"/>
  <c r="H39" i="1"/>
  <c r="H31" i="1"/>
  <c r="H23" i="1"/>
  <c r="H15" i="1"/>
  <c r="H7" i="1"/>
  <c r="H64" i="1"/>
  <c r="H56" i="1"/>
  <c r="H48" i="1"/>
  <c r="H40" i="1"/>
  <c r="H32" i="1"/>
  <c r="H24" i="1"/>
  <c r="H16" i="1"/>
  <c r="H8" i="1"/>
  <c r="H61" i="1"/>
  <c r="H21" i="1"/>
  <c r="H29" i="1"/>
  <c r="H2" i="1"/>
</calcChain>
</file>

<file path=xl/sharedStrings.xml><?xml version="1.0" encoding="utf-8"?>
<sst xmlns="http://schemas.openxmlformats.org/spreadsheetml/2006/main" count="104" uniqueCount="38">
  <si>
    <t>SpinType</t>
  </si>
  <si>
    <t>yarnCnt</t>
  </si>
  <si>
    <t>1/yC</t>
  </si>
  <si>
    <t>output1</t>
  </si>
  <si>
    <t>output2</t>
  </si>
  <si>
    <t>X1</t>
  </si>
  <si>
    <t>X2</t>
  </si>
  <si>
    <t>X1X2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</si>
  <si>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</si>
  <si>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</si>
  <si>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</si>
  <si>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</si>
  <si>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</si>
  <si>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</si>
  <si>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</si>
  <si>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</si>
  <si>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</si>
  <si>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</si>
  <si>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</si>
  <si>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</si>
  <si>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</si>
  <si>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</si>
  <si>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</si>
  <si>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</si>
  <si>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</si>
  <si>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</si>
  <si>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</si>
  <si>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</si>
  <si>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</si>
  <si>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</si>
  <si>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</si>
  <si>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</si>
  <si>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</si>
  <si>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yhat1</t>
  </si>
  <si>
    <t>yhat21</t>
  </si>
  <si>
    <t>yhat22</t>
  </si>
  <si>
    <t>yhat31</t>
  </si>
  <si>
    <t>yhat32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</si>
</sst>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2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3" borderId="2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3" borderId="1" xfId="0" applyFill="1" applyBorder="1" applyAlignment="1"/>
    <xf numFmtId="0" fontId="2" fillId="3" borderId="2" xfId="0" applyFont="1" applyFill="1" applyBorder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4" borderId="1" xfId="0" applyFill="1" applyBorder="1" applyAlignment="1"/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66FF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- Output vs 1/Count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output1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Sheet1!$D$2:$D$68</c:f>
              <c:numCache>
                <c:formatCode>General</c:formatCode>
                <c:ptCount val="67"/>
                <c:pt idx="0">
                  <c:v>176</c:v>
                </c:pt>
                <c:pt idx="1">
                  <c:v>136</c:v>
                </c:pt>
                <c:pt idx="2">
                  <c:v>121.9</c:v>
                </c:pt>
                <c:pt idx="3">
                  <c:v>111</c:v>
                </c:pt>
                <c:pt idx="4">
                  <c:v>99.9</c:v>
                </c:pt>
                <c:pt idx="5">
                  <c:v>98.9</c:v>
                </c:pt>
                <c:pt idx="6">
                  <c:v>105.2</c:v>
                </c:pt>
                <c:pt idx="7">
                  <c:v>84.3</c:v>
                </c:pt>
                <c:pt idx="8">
                  <c:v>79</c:v>
                </c:pt>
                <c:pt idx="9">
                  <c:v>80</c:v>
                </c:pt>
                <c:pt idx="10">
                  <c:v>80</c:v>
                </c:pt>
                <c:pt idx="11">
                  <c:v>75</c:v>
                </c:pt>
                <c:pt idx="12">
                  <c:v>69.099999999999994</c:v>
                </c:pt>
                <c:pt idx="13">
                  <c:v>55</c:v>
                </c:pt>
                <c:pt idx="14">
                  <c:v>70.400000000000006</c:v>
                </c:pt>
                <c:pt idx="15">
                  <c:v>64.5</c:v>
                </c:pt>
                <c:pt idx="16">
                  <c:v>60</c:v>
                </c:pt>
                <c:pt idx="17">
                  <c:v>68</c:v>
                </c:pt>
                <c:pt idx="18">
                  <c:v>65.8</c:v>
                </c:pt>
                <c:pt idx="19">
                  <c:v>51.9</c:v>
                </c:pt>
                <c:pt idx="20">
                  <c:v>55</c:v>
                </c:pt>
                <c:pt idx="21">
                  <c:v>45</c:v>
                </c:pt>
                <c:pt idx="22">
                  <c:v>50</c:v>
                </c:pt>
                <c:pt idx="23">
                  <c:v>57</c:v>
                </c:pt>
                <c:pt idx="24">
                  <c:v>45.5</c:v>
                </c:pt>
                <c:pt idx="25">
                  <c:v>40.6</c:v>
                </c:pt>
                <c:pt idx="26">
                  <c:v>36.299999999999997</c:v>
                </c:pt>
                <c:pt idx="27">
                  <c:v>33</c:v>
                </c:pt>
                <c:pt idx="28">
                  <c:v>30.7</c:v>
                </c:pt>
                <c:pt idx="29">
                  <c:v>27</c:v>
                </c:pt>
                <c:pt idx="30">
                  <c:v>29.5</c:v>
                </c:pt>
                <c:pt idx="31">
                  <c:v>27.5</c:v>
                </c:pt>
                <c:pt idx="32">
                  <c:v>28.5</c:v>
                </c:pt>
                <c:pt idx="33">
                  <c:v>26.5</c:v>
                </c:pt>
                <c:pt idx="34">
                  <c:v>26</c:v>
                </c:pt>
                <c:pt idx="35">
                  <c:v>27.3</c:v>
                </c:pt>
                <c:pt idx="36">
                  <c:v>25</c:v>
                </c:pt>
                <c:pt idx="37">
                  <c:v>23.3</c:v>
                </c:pt>
                <c:pt idx="38">
                  <c:v>20</c:v>
                </c:pt>
                <c:pt idx="39">
                  <c:v>15</c:v>
                </c:pt>
                <c:pt idx="40">
                  <c:v>10</c:v>
                </c:pt>
                <c:pt idx="41">
                  <c:v>15.7</c:v>
                </c:pt>
                <c:pt idx="42">
                  <c:v>10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6-426C-81CC-8F9F20F878B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output2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Sheet1!$E$2:$E$68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320.39999999999998</c:v>
                </c:pt>
                <c:pt idx="44">
                  <c:v>257</c:v>
                </c:pt>
                <c:pt idx="45">
                  <c:v>323.8</c:v>
                </c:pt>
                <c:pt idx="46">
                  <c:v>181.7</c:v>
                </c:pt>
                <c:pt idx="47">
                  <c:v>238</c:v>
                </c:pt>
                <c:pt idx="48">
                  <c:v>200.9</c:v>
                </c:pt>
                <c:pt idx="49">
                  <c:v>171.7</c:v>
                </c:pt>
                <c:pt idx="50">
                  <c:v>130.30000000000001</c:v>
                </c:pt>
                <c:pt idx="51">
                  <c:v>185.2</c:v>
                </c:pt>
                <c:pt idx="52">
                  <c:v>153.6</c:v>
                </c:pt>
                <c:pt idx="53">
                  <c:v>116.7</c:v>
                </c:pt>
                <c:pt idx="54">
                  <c:v>127.2</c:v>
                </c:pt>
                <c:pt idx="55">
                  <c:v>116.6</c:v>
                </c:pt>
                <c:pt idx="56">
                  <c:v>98.2</c:v>
                </c:pt>
                <c:pt idx="57">
                  <c:v>105.9</c:v>
                </c:pt>
                <c:pt idx="58">
                  <c:v>90.5</c:v>
                </c:pt>
                <c:pt idx="59">
                  <c:v>104.4</c:v>
                </c:pt>
                <c:pt idx="60">
                  <c:v>116.2</c:v>
                </c:pt>
                <c:pt idx="61">
                  <c:v>86.7</c:v>
                </c:pt>
                <c:pt idx="62">
                  <c:v>79.900000000000006</c:v>
                </c:pt>
                <c:pt idx="63">
                  <c:v>67</c:v>
                </c:pt>
                <c:pt idx="64">
                  <c:v>45</c:v>
                </c:pt>
                <c:pt idx="65">
                  <c:v>32</c:v>
                </c:pt>
                <c:pt idx="66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16-426C-81CC-8F9F20F87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492200"/>
        <c:axId val="351492528"/>
      </c:scatterChart>
      <c:valAx>
        <c:axId val="351492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= 1/Count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2528"/>
        <c:crosses val="autoZero"/>
        <c:crossBetween val="midCat"/>
      </c:valAx>
      <c:valAx>
        <c:axId val="3514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= Output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2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Common Intercepts &amp; Slopes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output1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Sheet1!$J$2:$J$68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Sheet1!$K$2:$K$68</c:f>
              <c:numCache>
                <c:formatCode>General</c:formatCode>
                <c:ptCount val="67"/>
                <c:pt idx="0">
                  <c:v>176</c:v>
                </c:pt>
                <c:pt idx="1">
                  <c:v>136</c:v>
                </c:pt>
                <c:pt idx="2">
                  <c:v>121.9</c:v>
                </c:pt>
                <c:pt idx="3">
                  <c:v>111</c:v>
                </c:pt>
                <c:pt idx="4">
                  <c:v>99.9</c:v>
                </c:pt>
                <c:pt idx="5">
                  <c:v>98.9</c:v>
                </c:pt>
                <c:pt idx="6">
                  <c:v>105.2</c:v>
                </c:pt>
                <c:pt idx="7">
                  <c:v>84.3</c:v>
                </c:pt>
                <c:pt idx="8">
                  <c:v>79</c:v>
                </c:pt>
                <c:pt idx="9">
                  <c:v>80</c:v>
                </c:pt>
                <c:pt idx="10">
                  <c:v>80</c:v>
                </c:pt>
                <c:pt idx="11">
                  <c:v>75</c:v>
                </c:pt>
                <c:pt idx="12">
                  <c:v>69.099999999999994</c:v>
                </c:pt>
                <c:pt idx="13">
                  <c:v>55</c:v>
                </c:pt>
                <c:pt idx="14">
                  <c:v>70.400000000000006</c:v>
                </c:pt>
                <c:pt idx="15">
                  <c:v>64.5</c:v>
                </c:pt>
                <c:pt idx="16">
                  <c:v>60</c:v>
                </c:pt>
                <c:pt idx="17">
                  <c:v>68</c:v>
                </c:pt>
                <c:pt idx="18">
                  <c:v>65.8</c:v>
                </c:pt>
                <c:pt idx="19">
                  <c:v>51.9</c:v>
                </c:pt>
                <c:pt idx="20">
                  <c:v>55</c:v>
                </c:pt>
                <c:pt idx="21">
                  <c:v>45</c:v>
                </c:pt>
                <c:pt idx="22">
                  <c:v>50</c:v>
                </c:pt>
                <c:pt idx="23">
                  <c:v>57</c:v>
                </c:pt>
                <c:pt idx="24">
                  <c:v>45.5</c:v>
                </c:pt>
                <c:pt idx="25">
                  <c:v>40.6</c:v>
                </c:pt>
                <c:pt idx="26">
                  <c:v>36.299999999999997</c:v>
                </c:pt>
                <c:pt idx="27">
                  <c:v>33</c:v>
                </c:pt>
                <c:pt idx="28">
                  <c:v>30.7</c:v>
                </c:pt>
                <c:pt idx="29">
                  <c:v>27</c:v>
                </c:pt>
                <c:pt idx="30">
                  <c:v>29.5</c:v>
                </c:pt>
                <c:pt idx="31">
                  <c:v>27.5</c:v>
                </c:pt>
                <c:pt idx="32">
                  <c:v>28.5</c:v>
                </c:pt>
                <c:pt idx="33">
                  <c:v>26.5</c:v>
                </c:pt>
                <c:pt idx="34">
                  <c:v>26</c:v>
                </c:pt>
                <c:pt idx="35">
                  <c:v>27.3</c:v>
                </c:pt>
                <c:pt idx="36">
                  <c:v>25</c:v>
                </c:pt>
                <c:pt idx="37">
                  <c:v>23.3</c:v>
                </c:pt>
                <c:pt idx="38">
                  <c:v>20</c:v>
                </c:pt>
                <c:pt idx="39">
                  <c:v>15</c:v>
                </c:pt>
                <c:pt idx="40">
                  <c:v>10</c:v>
                </c:pt>
                <c:pt idx="41">
                  <c:v>15.7</c:v>
                </c:pt>
                <c:pt idx="42">
                  <c:v>10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5-48FD-8EED-5D75ECA9A1F1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output2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8000"/>
              </a:solidFill>
              <a:ln w="9525">
                <a:solidFill>
                  <a:srgbClr val="008000"/>
                </a:solidFill>
              </a:ln>
              <a:effectLst/>
            </c:spPr>
          </c:marker>
          <c:xVal>
            <c:numRef>
              <c:f>Sheet1!$J$2:$J$68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Sheet1!$L$2:$L$68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320.39999999999998</c:v>
                </c:pt>
                <c:pt idx="44">
                  <c:v>257</c:v>
                </c:pt>
                <c:pt idx="45">
                  <c:v>323.8</c:v>
                </c:pt>
                <c:pt idx="46">
                  <c:v>181.7</c:v>
                </c:pt>
                <c:pt idx="47">
                  <c:v>238</c:v>
                </c:pt>
                <c:pt idx="48">
                  <c:v>200.9</c:v>
                </c:pt>
                <c:pt idx="49">
                  <c:v>171.7</c:v>
                </c:pt>
                <c:pt idx="50">
                  <c:v>130.30000000000001</c:v>
                </c:pt>
                <c:pt idx="51">
                  <c:v>185.2</c:v>
                </c:pt>
                <c:pt idx="52">
                  <c:v>153.6</c:v>
                </c:pt>
                <c:pt idx="53">
                  <c:v>116.7</c:v>
                </c:pt>
                <c:pt idx="54">
                  <c:v>127.2</c:v>
                </c:pt>
                <c:pt idx="55">
                  <c:v>116.6</c:v>
                </c:pt>
                <c:pt idx="56">
                  <c:v>98.2</c:v>
                </c:pt>
                <c:pt idx="57">
                  <c:v>105.9</c:v>
                </c:pt>
                <c:pt idx="58">
                  <c:v>90.5</c:v>
                </c:pt>
                <c:pt idx="59">
                  <c:v>104.4</c:v>
                </c:pt>
                <c:pt idx="60">
                  <c:v>116.2</c:v>
                </c:pt>
                <c:pt idx="61">
                  <c:v>86.7</c:v>
                </c:pt>
                <c:pt idx="62">
                  <c:v>79.900000000000006</c:v>
                </c:pt>
                <c:pt idx="63">
                  <c:v>67</c:v>
                </c:pt>
                <c:pt idx="64">
                  <c:v>45</c:v>
                </c:pt>
                <c:pt idx="65">
                  <c:v>32</c:v>
                </c:pt>
                <c:pt idx="66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95-48FD-8EED-5D75ECA9A1F1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yhat1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Sheet1!$J$2:$J$68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Sheet1!$M$2:$M$68</c:f>
              <c:numCache>
                <c:formatCode>General</c:formatCode>
                <c:ptCount val="67"/>
                <c:pt idx="0">
                  <c:v>289.63568915540532</c:v>
                </c:pt>
                <c:pt idx="1">
                  <c:v>198.77792955810855</c:v>
                </c:pt>
                <c:pt idx="2">
                  <c:v>166.06913610308175</c:v>
                </c:pt>
                <c:pt idx="3">
                  <c:v>141.89307137545319</c:v>
                </c:pt>
                <c:pt idx="4">
                  <c:v>141.89307137545319</c:v>
                </c:pt>
                <c:pt idx="5">
                  <c:v>128.99917018738466</c:v>
                </c:pt>
                <c:pt idx="6">
                  <c:v>128.99917018738466</c:v>
                </c:pt>
                <c:pt idx="7">
                  <c:v>113.11204193780016</c:v>
                </c:pt>
                <c:pt idx="8">
                  <c:v>104.28585957691992</c:v>
                </c:pt>
                <c:pt idx="9">
                  <c:v>100.29984173652238</c:v>
                </c:pt>
                <c:pt idx="10">
                  <c:v>93.052536572163234</c:v>
                </c:pt>
                <c:pt idx="11">
                  <c:v>89.748618041352429</c:v>
                </c:pt>
                <c:pt idx="12">
                  <c:v>86.633494855159398</c:v>
                </c:pt>
                <c:pt idx="13">
                  <c:v>78.271848408009689</c:v>
                </c:pt>
                <c:pt idx="14">
                  <c:v>78.271848408009689</c:v>
                </c:pt>
                <c:pt idx="15">
                  <c:v>75.770501180229857</c:v>
                </c:pt>
                <c:pt idx="16">
                  <c:v>73.394221313839026</c:v>
                </c:pt>
                <c:pt idx="17">
                  <c:v>73.394221313839026</c:v>
                </c:pt>
                <c:pt idx="18">
                  <c:v>73.394221313839026</c:v>
                </c:pt>
                <c:pt idx="19">
                  <c:v>63.097008559478724</c:v>
                </c:pt>
                <c:pt idx="20">
                  <c:v>63.097008559478724</c:v>
                </c:pt>
                <c:pt idx="21">
                  <c:v>57.948402182298565</c:v>
                </c:pt>
                <c:pt idx="22">
                  <c:v>54.859238355990485</c:v>
                </c:pt>
                <c:pt idx="23">
                  <c:v>48.119244553136468</c:v>
                </c:pt>
                <c:pt idx="24">
                  <c:v>48.119244553136468</c:v>
                </c:pt>
                <c:pt idx="25">
                  <c:v>42.502583050758119</c:v>
                </c:pt>
                <c:pt idx="26">
                  <c:v>37.750023317976449</c:v>
                </c:pt>
                <c:pt idx="27">
                  <c:v>33.676400689877859</c:v>
                </c:pt>
                <c:pt idx="28">
                  <c:v>30.145927745525761</c:v>
                </c:pt>
                <c:pt idx="29">
                  <c:v>30.145927745525761</c:v>
                </c:pt>
                <c:pt idx="30">
                  <c:v>27.056763919217673</c:v>
                </c:pt>
                <c:pt idx="31">
                  <c:v>27.056763919217673</c:v>
                </c:pt>
                <c:pt idx="32">
                  <c:v>24.331031131298765</c:v>
                </c:pt>
                <c:pt idx="33">
                  <c:v>24.331031131298765</c:v>
                </c:pt>
                <c:pt idx="34">
                  <c:v>23.32846274953549</c:v>
                </c:pt>
                <c:pt idx="35">
                  <c:v>21.908157542037522</c:v>
                </c:pt>
                <c:pt idx="36">
                  <c:v>21.908157542037522</c:v>
                </c:pt>
                <c:pt idx="37">
                  <c:v>17.789272440293402</c:v>
                </c:pt>
                <c:pt idx="38">
                  <c:v>17.789272440293402</c:v>
                </c:pt>
                <c:pt idx="39">
                  <c:v>14.419275538866394</c:v>
                </c:pt>
                <c:pt idx="40">
                  <c:v>10.375279257153984</c:v>
                </c:pt>
                <c:pt idx="41">
                  <c:v>9.2346649212863845</c:v>
                </c:pt>
                <c:pt idx="42">
                  <c:v>3.8880352219069962</c:v>
                </c:pt>
                <c:pt idx="43">
                  <c:v>265.87289049149695</c:v>
                </c:pt>
                <c:pt idx="44">
                  <c:v>212.40659349770306</c:v>
                </c:pt>
                <c:pt idx="45">
                  <c:v>212.40659349770306</c:v>
                </c:pt>
                <c:pt idx="46">
                  <c:v>186.66356161180232</c:v>
                </c:pt>
                <c:pt idx="47">
                  <c:v>175.82439029142307</c:v>
                </c:pt>
                <c:pt idx="48">
                  <c:v>149.2191515959467</c:v>
                </c:pt>
                <c:pt idx="49">
                  <c:v>141.89307137545319</c:v>
                </c:pt>
                <c:pt idx="50">
                  <c:v>135.1774978400008</c:v>
                </c:pt>
                <c:pt idx="51">
                  <c:v>128.99917018738466</c:v>
                </c:pt>
                <c:pt idx="52">
                  <c:v>123.29609850804663</c:v>
                </c:pt>
                <c:pt idx="53">
                  <c:v>113.11204193780016</c:v>
                </c:pt>
                <c:pt idx="54">
                  <c:v>113.11204193780016</c:v>
                </c:pt>
                <c:pt idx="55">
                  <c:v>108.54677519941383</c:v>
                </c:pt>
                <c:pt idx="56">
                  <c:v>104.28585957691992</c:v>
                </c:pt>
                <c:pt idx="57">
                  <c:v>96.562950011149695</c:v>
                </c:pt>
                <c:pt idx="58">
                  <c:v>89.748618041352429</c:v>
                </c:pt>
                <c:pt idx="59">
                  <c:v>86.633494855159398</c:v>
                </c:pt>
                <c:pt idx="60">
                  <c:v>86.633494855159398</c:v>
                </c:pt>
                <c:pt idx="61">
                  <c:v>83.691434068199314</c:v>
                </c:pt>
                <c:pt idx="62">
                  <c:v>73.394221313839026</c:v>
                </c:pt>
                <c:pt idx="63">
                  <c:v>54.859238355990485</c:v>
                </c:pt>
                <c:pt idx="64">
                  <c:v>42.502583050758119</c:v>
                </c:pt>
                <c:pt idx="65">
                  <c:v>33.676400689877859</c:v>
                </c:pt>
                <c:pt idx="66">
                  <c:v>21.908157542037522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95-48FD-8EED-5D75ECA9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77568"/>
        <c:axId val="434379208"/>
      </c:scatterChart>
      <c:valAx>
        <c:axId val="43437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= 1/Count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79208"/>
        <c:crosses val="autoZero"/>
        <c:crossBetween val="midCat"/>
      </c:valAx>
      <c:valAx>
        <c:axId val="43437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= Output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77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Different Intercepts - Common Slopes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output1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Sheet1!$N$2:$N$68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Sheet1!$O$2:$O$68</c:f>
              <c:numCache>
                <c:formatCode>General</c:formatCode>
                <c:ptCount val="67"/>
                <c:pt idx="0">
                  <c:v>176</c:v>
                </c:pt>
                <c:pt idx="1">
                  <c:v>136</c:v>
                </c:pt>
                <c:pt idx="2">
                  <c:v>121.9</c:v>
                </c:pt>
                <c:pt idx="3">
                  <c:v>111</c:v>
                </c:pt>
                <c:pt idx="4">
                  <c:v>99.9</c:v>
                </c:pt>
                <c:pt idx="5">
                  <c:v>98.9</c:v>
                </c:pt>
                <c:pt idx="6">
                  <c:v>105.2</c:v>
                </c:pt>
                <c:pt idx="7">
                  <c:v>84.3</c:v>
                </c:pt>
                <c:pt idx="8">
                  <c:v>79</c:v>
                </c:pt>
                <c:pt idx="9">
                  <c:v>80</c:v>
                </c:pt>
                <c:pt idx="10">
                  <c:v>80</c:v>
                </c:pt>
                <c:pt idx="11">
                  <c:v>75</c:v>
                </c:pt>
                <c:pt idx="12">
                  <c:v>69.099999999999994</c:v>
                </c:pt>
                <c:pt idx="13">
                  <c:v>55</c:v>
                </c:pt>
                <c:pt idx="14">
                  <c:v>70.400000000000006</c:v>
                </c:pt>
                <c:pt idx="15">
                  <c:v>64.5</c:v>
                </c:pt>
                <c:pt idx="16">
                  <c:v>60</c:v>
                </c:pt>
                <c:pt idx="17">
                  <c:v>68</c:v>
                </c:pt>
                <c:pt idx="18">
                  <c:v>65.8</c:v>
                </c:pt>
                <c:pt idx="19">
                  <c:v>51.9</c:v>
                </c:pt>
                <c:pt idx="20">
                  <c:v>55</c:v>
                </c:pt>
                <c:pt idx="21">
                  <c:v>45</c:v>
                </c:pt>
                <c:pt idx="22">
                  <c:v>50</c:v>
                </c:pt>
                <c:pt idx="23">
                  <c:v>57</c:v>
                </c:pt>
                <c:pt idx="24">
                  <c:v>45.5</c:v>
                </c:pt>
                <c:pt idx="25">
                  <c:v>40.6</c:v>
                </c:pt>
                <c:pt idx="26">
                  <c:v>36.299999999999997</c:v>
                </c:pt>
                <c:pt idx="27">
                  <c:v>33</c:v>
                </c:pt>
                <c:pt idx="28">
                  <c:v>30.7</c:v>
                </c:pt>
                <c:pt idx="29">
                  <c:v>27</c:v>
                </c:pt>
                <c:pt idx="30">
                  <c:v>29.5</c:v>
                </c:pt>
                <c:pt idx="31">
                  <c:v>27.5</c:v>
                </c:pt>
                <c:pt idx="32">
                  <c:v>28.5</c:v>
                </c:pt>
                <c:pt idx="33">
                  <c:v>26.5</c:v>
                </c:pt>
                <c:pt idx="34">
                  <c:v>26</c:v>
                </c:pt>
                <c:pt idx="35">
                  <c:v>27.3</c:v>
                </c:pt>
                <c:pt idx="36">
                  <c:v>25</c:v>
                </c:pt>
                <c:pt idx="37">
                  <c:v>23.3</c:v>
                </c:pt>
                <c:pt idx="38">
                  <c:v>20</c:v>
                </c:pt>
                <c:pt idx="39">
                  <c:v>15</c:v>
                </c:pt>
                <c:pt idx="40">
                  <c:v>10</c:v>
                </c:pt>
                <c:pt idx="41">
                  <c:v>15.7</c:v>
                </c:pt>
                <c:pt idx="42">
                  <c:v>10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D-4DD7-A98E-BF16202EFF76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output2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8000"/>
              </a:solidFill>
              <a:ln w="9525">
                <a:solidFill>
                  <a:srgbClr val="008000"/>
                </a:solidFill>
              </a:ln>
              <a:effectLst/>
            </c:spPr>
          </c:marker>
          <c:xVal>
            <c:numRef>
              <c:f>Sheet1!$N$2:$N$68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Sheet1!$P$2:$P$68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320.39999999999998</c:v>
                </c:pt>
                <c:pt idx="44">
                  <c:v>257</c:v>
                </c:pt>
                <c:pt idx="45">
                  <c:v>323.8</c:v>
                </c:pt>
                <c:pt idx="46">
                  <c:v>181.7</c:v>
                </c:pt>
                <c:pt idx="47">
                  <c:v>238</c:v>
                </c:pt>
                <c:pt idx="48">
                  <c:v>200.9</c:v>
                </c:pt>
                <c:pt idx="49">
                  <c:v>171.7</c:v>
                </c:pt>
                <c:pt idx="50">
                  <c:v>130.30000000000001</c:v>
                </c:pt>
                <c:pt idx="51">
                  <c:v>185.2</c:v>
                </c:pt>
                <c:pt idx="52">
                  <c:v>153.6</c:v>
                </c:pt>
                <c:pt idx="53">
                  <c:v>116.7</c:v>
                </c:pt>
                <c:pt idx="54">
                  <c:v>127.2</c:v>
                </c:pt>
                <c:pt idx="55">
                  <c:v>116.6</c:v>
                </c:pt>
                <c:pt idx="56">
                  <c:v>98.2</c:v>
                </c:pt>
                <c:pt idx="57">
                  <c:v>105.9</c:v>
                </c:pt>
                <c:pt idx="58">
                  <c:v>90.5</c:v>
                </c:pt>
                <c:pt idx="59">
                  <c:v>104.4</c:v>
                </c:pt>
                <c:pt idx="60">
                  <c:v>116.2</c:v>
                </c:pt>
                <c:pt idx="61">
                  <c:v>86.7</c:v>
                </c:pt>
                <c:pt idx="62">
                  <c:v>79.900000000000006</c:v>
                </c:pt>
                <c:pt idx="63">
                  <c:v>67</c:v>
                </c:pt>
                <c:pt idx="64">
                  <c:v>45</c:v>
                </c:pt>
                <c:pt idx="65">
                  <c:v>32</c:v>
                </c:pt>
                <c:pt idx="66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D-4DD7-A98E-BF16202EFF76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yhat21</c:v>
                </c:pt>
              </c:strCache>
            </c:strRef>
          </c:tx>
          <c:spPr>
            <a:ln w="317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Sheet1!$N$2:$N$68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Sheet1!$Q$2:$Q$68</c:f>
              <c:numCache>
                <c:formatCode>General</c:formatCode>
                <c:ptCount val="67"/>
                <c:pt idx="0">
                  <c:v>251.43106620608151</c:v>
                </c:pt>
                <c:pt idx="1">
                  <c:v>171.23106402566472</c:v>
                </c:pt>
                <c:pt idx="2">
                  <c:v>142.35906324071468</c:v>
                </c:pt>
                <c:pt idx="3">
                  <c:v>121.01888874749071</c:v>
                </c:pt>
                <c:pt idx="4">
                  <c:v>121.01888874749071</c:v>
                </c:pt>
                <c:pt idx="5">
                  <c:v>109.6374623511046</c:v>
                </c:pt>
                <c:pt idx="6">
                  <c:v>109.6374623511046</c:v>
                </c:pt>
                <c:pt idx="7">
                  <c:v>95.613919112700302</c:v>
                </c:pt>
                <c:pt idx="8">
                  <c:v>87.823061758031244</c:v>
                </c:pt>
                <c:pt idx="9">
                  <c:v>84.304610049471023</c:v>
                </c:pt>
                <c:pt idx="10">
                  <c:v>77.907425124816072</c:v>
                </c:pt>
                <c:pt idx="11">
                  <c:v>74.991061409164558</c:v>
                </c:pt>
                <c:pt idx="12">
                  <c:v>72.241347048693115</c:v>
                </c:pt>
                <c:pt idx="13">
                  <c:v>64.860534817954004</c:v>
                </c:pt>
                <c:pt idx="14">
                  <c:v>64.860534817954004</c:v>
                </c:pt>
                <c:pt idx="15">
                  <c:v>62.652599535254268</c:v>
                </c:pt>
                <c:pt idx="16">
                  <c:v>60.555061016689535</c:v>
                </c:pt>
                <c:pt idx="17">
                  <c:v>60.555061016689535</c:v>
                </c:pt>
                <c:pt idx="18">
                  <c:v>60.555061016689535</c:v>
                </c:pt>
                <c:pt idx="19">
                  <c:v>51.46572743624229</c:v>
                </c:pt>
                <c:pt idx="20">
                  <c:v>51.46572743624229</c:v>
                </c:pt>
                <c:pt idx="21">
                  <c:v>46.921060646018674</c:v>
                </c:pt>
                <c:pt idx="22">
                  <c:v>44.194260571884499</c:v>
                </c:pt>
                <c:pt idx="23">
                  <c:v>38.244878591955398</c:v>
                </c:pt>
                <c:pt idx="24">
                  <c:v>38.244878591955398</c:v>
                </c:pt>
                <c:pt idx="25">
                  <c:v>33.28706027534782</c:v>
                </c:pt>
                <c:pt idx="26">
                  <c:v>29.091983238218326</c:v>
                </c:pt>
                <c:pt idx="27">
                  <c:v>25.496202920678755</c:v>
                </c:pt>
                <c:pt idx="28">
                  <c:v>22.379859978811133</c:v>
                </c:pt>
                <c:pt idx="29">
                  <c:v>22.379859978811133</c:v>
                </c:pt>
                <c:pt idx="30">
                  <c:v>19.653059904676965</c:v>
                </c:pt>
                <c:pt idx="31">
                  <c:v>19.653059904676965</c:v>
                </c:pt>
                <c:pt idx="32">
                  <c:v>17.247059839264459</c:v>
                </c:pt>
                <c:pt idx="33">
                  <c:v>17.247059839264459</c:v>
                </c:pt>
                <c:pt idx="34">
                  <c:v>16.36209429796331</c:v>
                </c:pt>
                <c:pt idx="35">
                  <c:v>15.108393114453342</c:v>
                </c:pt>
                <c:pt idx="36">
                  <c:v>15.108393114453342</c:v>
                </c:pt>
                <c:pt idx="37">
                  <c:v>11.472659682274447</c:v>
                </c:pt>
                <c:pt idx="38">
                  <c:v>11.472659682274447</c:v>
                </c:pt>
                <c:pt idx="39">
                  <c:v>8.4979686923098967</c:v>
                </c:pt>
                <c:pt idx="40">
                  <c:v>4.9283395043524401</c:v>
                </c:pt>
                <c:pt idx="41">
                  <c:v>3.9215210154413604</c:v>
                </c:pt>
                <c:pt idx="42">
                  <c:v>-0.79794065132931991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D-4DD7-A98E-BF16202EFF76}"/>
            </c:ext>
          </c:extLst>
        </c:ser>
        <c:ser>
          <c:idx val="3"/>
          <c:order val="3"/>
          <c:tx>
            <c:strRef>
              <c:f>Sheet1!$R$1</c:f>
              <c:strCache>
                <c:ptCount val="1"/>
                <c:pt idx="0">
                  <c:v>yhat22</c:v>
                </c:pt>
              </c:strCache>
            </c:strRef>
          </c:tx>
          <c:spPr>
            <a:ln w="317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Sheet1!$N$2:$N$68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Sheet1!$R$2:$R$68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270.75475611903482</c:v>
                </c:pt>
                <c:pt idx="44">
                  <c:v>223.56013945132801</c:v>
                </c:pt>
                <c:pt idx="45">
                  <c:v>223.56013945132801</c:v>
                </c:pt>
                <c:pt idx="46">
                  <c:v>200.83680550020992</c:v>
                </c:pt>
                <c:pt idx="47">
                  <c:v>191.26908594184439</c:v>
                </c:pt>
                <c:pt idx="48">
                  <c:v>167.7846833894927</c:v>
                </c:pt>
                <c:pt idx="49">
                  <c:v>161.31796384609149</c:v>
                </c:pt>
                <c:pt idx="50">
                  <c:v>155.39013759797373</c:v>
                </c:pt>
                <c:pt idx="51">
                  <c:v>149.93653744970538</c:v>
                </c:pt>
                <c:pt idx="52">
                  <c:v>144.90244500515001</c:v>
                </c:pt>
                <c:pt idx="53">
                  <c:v>135.91299421130108</c:v>
                </c:pt>
                <c:pt idx="54">
                  <c:v>135.91299421130108</c:v>
                </c:pt>
                <c:pt idx="55">
                  <c:v>131.88324040716191</c:v>
                </c:pt>
                <c:pt idx="56">
                  <c:v>128.12213685663204</c:v>
                </c:pt>
                <c:pt idx="57">
                  <c:v>121.30513667129659</c:v>
                </c:pt>
                <c:pt idx="58">
                  <c:v>115.29013650776534</c:v>
                </c:pt>
                <c:pt idx="59">
                  <c:v>112.5404221472939</c:v>
                </c:pt>
                <c:pt idx="60">
                  <c:v>112.5404221472939</c:v>
                </c:pt>
                <c:pt idx="61">
                  <c:v>109.94346969573755</c:v>
                </c:pt>
                <c:pt idx="62">
                  <c:v>100.85413611529032</c:v>
                </c:pt>
                <c:pt idx="63">
                  <c:v>84.493335670485294</c:v>
                </c:pt>
                <c:pt idx="64">
                  <c:v>73.586135373948608</c:v>
                </c:pt>
                <c:pt idx="65">
                  <c:v>65.79527801927955</c:v>
                </c:pt>
                <c:pt idx="66">
                  <c:v>55.407468213054131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5D-4DD7-A98E-BF16202EF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726160"/>
        <c:axId val="441503528"/>
      </c:scatterChart>
      <c:valAx>
        <c:axId val="35572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= 1/Count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03528"/>
        <c:crosses val="autoZero"/>
        <c:crossBetween val="midCat"/>
      </c:valAx>
      <c:valAx>
        <c:axId val="44150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= Output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2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Different Intercepts &amp; Slopes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output1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Sheet1!$S$2:$S$68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Sheet1!$T$2:$T$68</c:f>
              <c:numCache>
                <c:formatCode>General</c:formatCode>
                <c:ptCount val="67"/>
                <c:pt idx="0">
                  <c:v>176</c:v>
                </c:pt>
                <c:pt idx="1">
                  <c:v>136</c:v>
                </c:pt>
                <c:pt idx="2">
                  <c:v>121.9</c:v>
                </c:pt>
                <c:pt idx="3">
                  <c:v>111</c:v>
                </c:pt>
                <c:pt idx="4">
                  <c:v>99.9</c:v>
                </c:pt>
                <c:pt idx="5">
                  <c:v>98.9</c:v>
                </c:pt>
                <c:pt idx="6">
                  <c:v>105.2</c:v>
                </c:pt>
                <c:pt idx="7">
                  <c:v>84.3</c:v>
                </c:pt>
                <c:pt idx="8">
                  <c:v>79</c:v>
                </c:pt>
                <c:pt idx="9">
                  <c:v>80</c:v>
                </c:pt>
                <c:pt idx="10">
                  <c:v>80</c:v>
                </c:pt>
                <c:pt idx="11">
                  <c:v>75</c:v>
                </c:pt>
                <c:pt idx="12">
                  <c:v>69.099999999999994</c:v>
                </c:pt>
                <c:pt idx="13">
                  <c:v>55</c:v>
                </c:pt>
                <c:pt idx="14">
                  <c:v>70.400000000000006</c:v>
                </c:pt>
                <c:pt idx="15">
                  <c:v>64.5</c:v>
                </c:pt>
                <c:pt idx="16">
                  <c:v>60</c:v>
                </c:pt>
                <c:pt idx="17">
                  <c:v>68</c:v>
                </c:pt>
                <c:pt idx="18">
                  <c:v>65.8</c:v>
                </c:pt>
                <c:pt idx="19">
                  <c:v>51.9</c:v>
                </c:pt>
                <c:pt idx="20">
                  <c:v>55</c:v>
                </c:pt>
                <c:pt idx="21">
                  <c:v>45</c:v>
                </c:pt>
                <c:pt idx="22">
                  <c:v>50</c:v>
                </c:pt>
                <c:pt idx="23">
                  <c:v>57</c:v>
                </c:pt>
                <c:pt idx="24">
                  <c:v>45.5</c:v>
                </c:pt>
                <c:pt idx="25">
                  <c:v>40.6</c:v>
                </c:pt>
                <c:pt idx="26">
                  <c:v>36.299999999999997</c:v>
                </c:pt>
                <c:pt idx="27">
                  <c:v>33</c:v>
                </c:pt>
                <c:pt idx="28">
                  <c:v>30.7</c:v>
                </c:pt>
                <c:pt idx="29">
                  <c:v>27</c:v>
                </c:pt>
                <c:pt idx="30">
                  <c:v>29.5</c:v>
                </c:pt>
                <c:pt idx="31">
                  <c:v>27.5</c:v>
                </c:pt>
                <c:pt idx="32">
                  <c:v>28.5</c:v>
                </c:pt>
                <c:pt idx="33">
                  <c:v>26.5</c:v>
                </c:pt>
                <c:pt idx="34">
                  <c:v>26</c:v>
                </c:pt>
                <c:pt idx="35">
                  <c:v>27.3</c:v>
                </c:pt>
                <c:pt idx="36">
                  <c:v>25</c:v>
                </c:pt>
                <c:pt idx="37">
                  <c:v>23.3</c:v>
                </c:pt>
                <c:pt idx="38">
                  <c:v>20</c:v>
                </c:pt>
                <c:pt idx="39">
                  <c:v>15</c:v>
                </c:pt>
                <c:pt idx="40">
                  <c:v>10</c:v>
                </c:pt>
                <c:pt idx="41">
                  <c:v>15.7</c:v>
                </c:pt>
                <c:pt idx="42">
                  <c:v>10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C-43B2-998F-C87A54BD05B2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output2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8000"/>
              </a:solidFill>
              <a:ln w="9525">
                <a:solidFill>
                  <a:srgbClr val="008000"/>
                </a:solidFill>
              </a:ln>
              <a:effectLst/>
            </c:spPr>
          </c:marker>
          <c:xVal>
            <c:numRef>
              <c:f>Sheet1!$S$2:$S$68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Sheet1!$U$2:$U$68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320.39999999999998</c:v>
                </c:pt>
                <c:pt idx="44">
                  <c:v>257</c:v>
                </c:pt>
                <c:pt idx="45">
                  <c:v>323.8</c:v>
                </c:pt>
                <c:pt idx="46">
                  <c:v>181.7</c:v>
                </c:pt>
                <c:pt idx="47">
                  <c:v>238</c:v>
                </c:pt>
                <c:pt idx="48">
                  <c:v>200.9</c:v>
                </c:pt>
                <c:pt idx="49">
                  <c:v>171.7</c:v>
                </c:pt>
                <c:pt idx="50">
                  <c:v>130.30000000000001</c:v>
                </c:pt>
                <c:pt idx="51">
                  <c:v>185.2</c:v>
                </c:pt>
                <c:pt idx="52">
                  <c:v>153.6</c:v>
                </c:pt>
                <c:pt idx="53">
                  <c:v>116.7</c:v>
                </c:pt>
                <c:pt idx="54">
                  <c:v>127.2</c:v>
                </c:pt>
                <c:pt idx="55">
                  <c:v>116.6</c:v>
                </c:pt>
                <c:pt idx="56">
                  <c:v>98.2</c:v>
                </c:pt>
                <c:pt idx="57">
                  <c:v>105.9</c:v>
                </c:pt>
                <c:pt idx="58">
                  <c:v>90.5</c:v>
                </c:pt>
                <c:pt idx="59">
                  <c:v>104.4</c:v>
                </c:pt>
                <c:pt idx="60">
                  <c:v>116.2</c:v>
                </c:pt>
                <c:pt idx="61">
                  <c:v>86.7</c:v>
                </c:pt>
                <c:pt idx="62">
                  <c:v>79.900000000000006</c:v>
                </c:pt>
                <c:pt idx="63">
                  <c:v>67</c:v>
                </c:pt>
                <c:pt idx="64">
                  <c:v>45</c:v>
                </c:pt>
                <c:pt idx="65">
                  <c:v>32</c:v>
                </c:pt>
                <c:pt idx="66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C-43B2-998F-C87A54BD05B2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yhat31</c:v>
                </c:pt>
              </c:strCache>
            </c:strRef>
          </c:tx>
          <c:spPr>
            <a:ln w="317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Sheet1!$S$2:$S$68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Sheet1!$V$2:$V$68</c:f>
              <c:numCache>
                <c:formatCode>General</c:formatCode>
                <c:ptCount val="67"/>
                <c:pt idx="0">
                  <c:v>195.52956209220028</c:v>
                </c:pt>
                <c:pt idx="1">
                  <c:v>138.40274849218181</c:v>
                </c:pt>
                <c:pt idx="2">
                  <c:v>117.83709559617519</c:v>
                </c:pt>
                <c:pt idx="3">
                  <c:v>102.63639562956158</c:v>
                </c:pt>
                <c:pt idx="4">
                  <c:v>102.63639562956158</c:v>
                </c:pt>
                <c:pt idx="5">
                  <c:v>94.529355647367652</c:v>
                </c:pt>
                <c:pt idx="6">
                  <c:v>94.529355647367652</c:v>
                </c:pt>
                <c:pt idx="7">
                  <c:v>84.540324240735842</c:v>
                </c:pt>
                <c:pt idx="8">
                  <c:v>78.990862348162636</c:v>
                </c:pt>
                <c:pt idx="9">
                  <c:v>76.48465375151666</c:v>
                </c:pt>
                <c:pt idx="10">
                  <c:v>71.927910848523993</c:v>
                </c:pt>
                <c:pt idx="11">
                  <c:v>69.850572172159673</c:v>
                </c:pt>
                <c:pt idx="12">
                  <c:v>67.891938563016183</c:v>
                </c:pt>
                <c:pt idx="13">
                  <c:v>62.63455361215734</c:v>
                </c:pt>
                <c:pt idx="14">
                  <c:v>62.63455361215734</c:v>
                </c:pt>
                <c:pt idx="15">
                  <c:v>61.061831618310684</c:v>
                </c:pt>
                <c:pt idx="16">
                  <c:v>59.56774572415636</c:v>
                </c:pt>
                <c:pt idx="17">
                  <c:v>59.56774572415636</c:v>
                </c:pt>
                <c:pt idx="18">
                  <c:v>59.56774572415636</c:v>
                </c:pt>
                <c:pt idx="19">
                  <c:v>53.093373516154266</c:v>
                </c:pt>
                <c:pt idx="20">
                  <c:v>53.093373516154266</c:v>
                </c:pt>
                <c:pt idx="21">
                  <c:v>49.856187412153218</c:v>
                </c:pt>
                <c:pt idx="22">
                  <c:v>47.913875749752592</c:v>
                </c:pt>
                <c:pt idx="23">
                  <c:v>43.676104849969398</c:v>
                </c:pt>
                <c:pt idx="24">
                  <c:v>43.676104849969398</c:v>
                </c:pt>
                <c:pt idx="25">
                  <c:v>40.144629100150084</c:v>
                </c:pt>
                <c:pt idx="26">
                  <c:v>37.156457311841429</c:v>
                </c:pt>
                <c:pt idx="27">
                  <c:v>34.595167207576857</c:v>
                </c:pt>
                <c:pt idx="28">
                  <c:v>32.375382450547576</c:v>
                </c:pt>
                <c:pt idx="29">
                  <c:v>32.375382450547576</c:v>
                </c:pt>
                <c:pt idx="30">
                  <c:v>30.433070788146946</c:v>
                </c:pt>
                <c:pt idx="31">
                  <c:v>30.433070788146946</c:v>
                </c:pt>
                <c:pt idx="32">
                  <c:v>28.71926638014639</c:v>
                </c:pt>
                <c:pt idx="33">
                  <c:v>28.71926638014639</c:v>
                </c:pt>
                <c:pt idx="34">
                  <c:v>28.088901540422047</c:v>
                </c:pt>
                <c:pt idx="35">
                  <c:v>27.195884684145899</c:v>
                </c:pt>
                <c:pt idx="36">
                  <c:v>27.195884684145899</c:v>
                </c:pt>
                <c:pt idx="37">
                  <c:v>24.606135800945061</c:v>
                </c:pt>
                <c:pt idx="38">
                  <c:v>24.606135800945061</c:v>
                </c:pt>
                <c:pt idx="39">
                  <c:v>22.487250351053465</c:v>
                </c:pt>
                <c:pt idx="40">
                  <c:v>19.944587811183556</c:v>
                </c:pt>
                <c:pt idx="41">
                  <c:v>19.22742658198948</c:v>
                </c:pt>
                <c:pt idx="42">
                  <c:v>15.865733320142239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FC-43B2-998F-C87A54BD05B2}"/>
            </c:ext>
          </c:extLst>
        </c:ser>
        <c:ser>
          <c:idx val="3"/>
          <c:order val="3"/>
          <c:tx>
            <c:strRef>
              <c:f>Sheet1!$W$1</c:f>
              <c:strCache>
                <c:ptCount val="1"/>
                <c:pt idx="0">
                  <c:v>yhat32</c:v>
                </c:pt>
              </c:strCache>
            </c:strRef>
          </c:tx>
          <c:spPr>
            <a:ln w="317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Sheet1!$S$2:$S$68</c:f>
              <c:numCache>
                <c:formatCode>General</c:formatCode>
                <c:ptCount val="67"/>
                <c:pt idx="0">
                  <c:v>8.3333333333333329E-2</c:v>
                </c:pt>
                <c:pt idx="1">
                  <c:v>5.8823529411764705E-2</c:v>
                </c:pt>
                <c:pt idx="2">
                  <c:v>0.05</c:v>
                </c:pt>
                <c:pt idx="3">
                  <c:v>4.3478260869565216E-2</c:v>
                </c:pt>
                <c:pt idx="4">
                  <c:v>4.3478260869565216E-2</c:v>
                </c:pt>
                <c:pt idx="5">
                  <c:v>0.04</c:v>
                </c:pt>
                <c:pt idx="6">
                  <c:v>0.04</c:v>
                </c:pt>
                <c:pt idx="7">
                  <c:v>3.5714285714285712E-2</c:v>
                </c:pt>
                <c:pt idx="8">
                  <c:v>3.3333333333333333E-2</c:v>
                </c:pt>
                <c:pt idx="9">
                  <c:v>3.2258064516129031E-2</c:v>
                </c:pt>
                <c:pt idx="10">
                  <c:v>3.0303030303030304E-2</c:v>
                </c:pt>
                <c:pt idx="11">
                  <c:v>2.9411764705882353E-2</c:v>
                </c:pt>
                <c:pt idx="12">
                  <c:v>2.8571428571428571E-2</c:v>
                </c:pt>
                <c:pt idx="13">
                  <c:v>2.6315789473684209E-2</c:v>
                </c:pt>
                <c:pt idx="14">
                  <c:v>2.6315789473684209E-2</c:v>
                </c:pt>
                <c:pt idx="15">
                  <c:v>2.564102564102564E-2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2.2222222222222223E-2</c:v>
                </c:pt>
                <c:pt idx="20">
                  <c:v>2.2222222222222223E-2</c:v>
                </c:pt>
                <c:pt idx="21">
                  <c:v>2.0833333333333332E-2</c:v>
                </c:pt>
                <c:pt idx="22">
                  <c:v>0.02</c:v>
                </c:pt>
                <c:pt idx="23">
                  <c:v>1.8181818181818181E-2</c:v>
                </c:pt>
                <c:pt idx="24">
                  <c:v>1.8181818181818181E-2</c:v>
                </c:pt>
                <c:pt idx="25">
                  <c:v>1.6666666666666666E-2</c:v>
                </c:pt>
                <c:pt idx="26">
                  <c:v>1.5384615384615385E-2</c:v>
                </c:pt>
                <c:pt idx="27">
                  <c:v>1.4285714285714285E-2</c:v>
                </c:pt>
                <c:pt idx="28">
                  <c:v>1.3333333333333334E-2</c:v>
                </c:pt>
                <c:pt idx="29">
                  <c:v>1.3333333333333334E-2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1.1764705882352941E-2</c:v>
                </c:pt>
                <c:pt idx="33">
                  <c:v>1.1764705882352941E-2</c:v>
                </c:pt>
                <c:pt idx="34">
                  <c:v>1.1494252873563218E-2</c:v>
                </c:pt>
                <c:pt idx="35">
                  <c:v>1.1111111111111112E-2</c:v>
                </c:pt>
                <c:pt idx="36">
                  <c:v>1.1111111111111112E-2</c:v>
                </c:pt>
                <c:pt idx="37">
                  <c:v>0.01</c:v>
                </c:pt>
                <c:pt idx="38">
                  <c:v>0.01</c:v>
                </c:pt>
                <c:pt idx="39">
                  <c:v>9.0909090909090905E-3</c:v>
                </c:pt>
                <c:pt idx="40">
                  <c:v>8.0000000000000002E-3</c:v>
                </c:pt>
                <c:pt idx="41">
                  <c:v>7.6923076923076927E-3</c:v>
                </c:pt>
                <c:pt idx="42">
                  <c:v>6.2500000000000003E-3</c:v>
                </c:pt>
                <c:pt idx="43">
                  <c:v>7.6923076923076927E-2</c:v>
                </c:pt>
                <c:pt idx="44">
                  <c:v>6.25E-2</c:v>
                </c:pt>
                <c:pt idx="45">
                  <c:v>6.25E-2</c:v>
                </c:pt>
                <c:pt idx="46">
                  <c:v>5.5555555555555552E-2</c:v>
                </c:pt>
                <c:pt idx="47">
                  <c:v>5.2631578947368418E-2</c:v>
                </c:pt>
                <c:pt idx="48">
                  <c:v>4.5454545454545456E-2</c:v>
                </c:pt>
                <c:pt idx="49">
                  <c:v>4.3478260869565216E-2</c:v>
                </c:pt>
                <c:pt idx="50">
                  <c:v>4.1666666666666664E-2</c:v>
                </c:pt>
                <c:pt idx="51">
                  <c:v>0.04</c:v>
                </c:pt>
                <c:pt idx="52">
                  <c:v>3.8461538461538464E-2</c:v>
                </c:pt>
                <c:pt idx="53">
                  <c:v>3.5714285714285712E-2</c:v>
                </c:pt>
                <c:pt idx="54">
                  <c:v>3.5714285714285712E-2</c:v>
                </c:pt>
                <c:pt idx="55">
                  <c:v>3.4482758620689655E-2</c:v>
                </c:pt>
                <c:pt idx="56">
                  <c:v>3.3333333333333333E-2</c:v>
                </c:pt>
                <c:pt idx="57">
                  <c:v>3.125E-2</c:v>
                </c:pt>
                <c:pt idx="58">
                  <c:v>2.9411764705882353E-2</c:v>
                </c:pt>
                <c:pt idx="59">
                  <c:v>2.8571428571428571E-2</c:v>
                </c:pt>
                <c:pt idx="60">
                  <c:v>2.8571428571428571E-2</c:v>
                </c:pt>
                <c:pt idx="61">
                  <c:v>2.7777777777777776E-2</c:v>
                </c:pt>
                <c:pt idx="62">
                  <c:v>2.5000000000000001E-2</c:v>
                </c:pt>
                <c:pt idx="63">
                  <c:v>0.02</c:v>
                </c:pt>
                <c:pt idx="64">
                  <c:v>1.6666666666666666E-2</c:v>
                </c:pt>
                <c:pt idx="65">
                  <c:v>1.4285714285714285E-2</c:v>
                </c:pt>
                <c:pt idx="66">
                  <c:v>1.1111111111111112E-2</c:v>
                </c:pt>
              </c:numCache>
            </c:numRef>
          </c:xVal>
          <c:yVal>
            <c:numRef>
              <c:f>Sheet1!$W$2:$W$68</c:f>
              <c:numCache>
                <c:formatCode>General</c:formatCode>
                <c:ptCount val="6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333.99435777617725</c:v>
                </c:pt>
                <c:pt idx="44">
                  <c:v>263.87982367679729</c:v>
                </c:pt>
                <c:pt idx="45">
                  <c:v>263.87982367679729</c:v>
                </c:pt>
                <c:pt idx="46">
                  <c:v>230.12097392524393</c:v>
                </c:pt>
                <c:pt idx="47">
                  <c:v>215.9067213982741</c:v>
                </c:pt>
                <c:pt idx="48">
                  <c:v>181.01719246843913</c:v>
                </c:pt>
                <c:pt idx="49">
                  <c:v>171.40993087906429</c:v>
                </c:pt>
                <c:pt idx="50">
                  <c:v>162.6032744221373</c:v>
                </c:pt>
                <c:pt idx="51">
                  <c:v>154.50115048176451</c:v>
                </c:pt>
                <c:pt idx="52">
                  <c:v>147.02226684449735</c:v>
                </c:pt>
                <c:pt idx="53">
                  <c:v>133.66711749223447</c:v>
                </c:pt>
                <c:pt idx="54">
                  <c:v>133.66711749223447</c:v>
                </c:pt>
                <c:pt idx="55">
                  <c:v>127.68032640328907</c:v>
                </c:pt>
                <c:pt idx="56">
                  <c:v>122.09265472027336</c:v>
                </c:pt>
                <c:pt idx="57">
                  <c:v>111.96499979480735</c:v>
                </c:pt>
                <c:pt idx="58">
                  <c:v>103.02883368410205</c:v>
                </c:pt>
                <c:pt idx="59">
                  <c:v>98.94372917635107</c:v>
                </c:pt>
                <c:pt idx="60">
                  <c:v>98.94372917635107</c:v>
                </c:pt>
                <c:pt idx="61">
                  <c:v>95.085574919030691</c:v>
                </c:pt>
                <c:pt idx="62">
                  <c:v>81.582035018409385</c:v>
                </c:pt>
                <c:pt idx="63">
                  <c:v>57.275663197290989</c:v>
                </c:pt>
                <c:pt idx="64">
                  <c:v>41.071415316545405</c:v>
                </c:pt>
                <c:pt idx="65">
                  <c:v>29.496952544584261</c:v>
                </c:pt>
                <c:pt idx="66">
                  <c:v>14.064335515302751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FC-43B2-998F-C87A54BD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178432"/>
        <c:axId val="570178760"/>
      </c:scatterChart>
      <c:valAx>
        <c:axId val="57017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= 1/Count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78760"/>
        <c:crosses val="autoZero"/>
        <c:crossBetween val="midCat"/>
      </c:valAx>
      <c:valAx>
        <c:axId val="5701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= Output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78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"/>
  <sheetViews>
    <sheetView tabSelected="1" topLeftCell="O19" workbookViewId="0">
      <selection activeCell="AF46" sqref="AF46"/>
    </sheetView>
  </sheetViews>
  <sheetFormatPr defaultRowHeight="15"/>
  <cols>
    <col min="26" max="26" width="17.710937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3</v>
      </c>
      <c r="L1" t="s">
        <v>4</v>
      </c>
      <c r="M1" t="s">
        <v>33</v>
      </c>
      <c r="N1" t="s">
        <v>2</v>
      </c>
      <c r="O1" t="s">
        <v>3</v>
      </c>
      <c r="P1" t="s">
        <v>4</v>
      </c>
      <c r="Q1" t="s">
        <v>34</v>
      </c>
      <c r="R1" t="s">
        <v>35</v>
      </c>
      <c r="S1" t="s">
        <v>2</v>
      </c>
      <c r="T1" t="s">
        <v>3</v>
      </c>
      <c r="U1" t="s">
        <v>4</v>
      </c>
      <c r="V1" t="s">
        <v>36</v>
      </c>
      <c r="W1" t="s">
        <v>37</v>
      </c>
      <c r="Z1" s="2" t="s">
        <v>9</v>
      </c>
      <c r="AA1" s="2"/>
      <c r="AB1" s="2"/>
      <c r="AC1" s="2"/>
      <c r="AD1" s="2"/>
      <c r="AE1" s="2"/>
      <c r="AF1" s="2"/>
      <c r="AG1" s="2"/>
      <c r="AH1" s="2"/>
    </row>
    <row r="2" spans="1:34" ht="15.75" thickBot="1">
      <c r="A2" s="1">
        <v>1</v>
      </c>
      <c r="B2">
        <v>12</v>
      </c>
      <c r="C2">
        <f>1/B2</f>
        <v>8.3333333333333329E-2</v>
      </c>
      <c r="D2">
        <v>176</v>
      </c>
      <c r="E2" t="e">
        <f>NA()</f>
        <v>#N/A</v>
      </c>
      <c r="F2">
        <f>C2</f>
        <v>8.3333333333333329E-2</v>
      </c>
      <c r="G2">
        <f>A2-1</f>
        <v>0</v>
      </c>
      <c r="H2">
        <f>F2*G2</f>
        <v>0</v>
      </c>
      <c r="I2">
        <f>IF(A2=1,D2,E2)</f>
        <v>176</v>
      </c>
      <c r="J2">
        <v>8.3333333333333329E-2</v>
      </c>
      <c r="K2">
        <v>176</v>
      </c>
      <c r="L2" t="e">
        <v>#N/A</v>
      </c>
      <c r="M2">
        <f>$AA$17+$AA$18*J2</f>
        <v>289.63568915540532</v>
      </c>
      <c r="N2">
        <v>8.3333333333333329E-2</v>
      </c>
      <c r="O2">
        <v>176</v>
      </c>
      <c r="P2" t="e">
        <v>#N/A</v>
      </c>
      <c r="Q2">
        <f>$AA$37+$AA$38*$F2+$AA$39*$G2</f>
        <v>251.43106620608151</v>
      </c>
      <c r="R2" t="e">
        <f>NA()</f>
        <v>#N/A</v>
      </c>
      <c r="S2">
        <v>8.3333333333333329E-2</v>
      </c>
      <c r="T2">
        <v>176</v>
      </c>
      <c r="U2" t="e">
        <v>#N/A</v>
      </c>
      <c r="V2">
        <f>$AA$57+$AA$58*$F2+$AA$59*$G2+$AA$60*$H2</f>
        <v>195.52956209220028</v>
      </c>
      <c r="W2" t="e">
        <f>NA()</f>
        <v>#N/A</v>
      </c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s="1">
        <v>1</v>
      </c>
      <c r="B3">
        <v>17</v>
      </c>
      <c r="C3">
        <f t="shared" ref="C3:C66" si="0">1/B3</f>
        <v>5.8823529411764705E-2</v>
      </c>
      <c r="D3">
        <v>136</v>
      </c>
      <c r="E3" t="e">
        <f>NA()</f>
        <v>#N/A</v>
      </c>
      <c r="F3">
        <f t="shared" ref="F3:F66" si="1">C3</f>
        <v>5.8823529411764705E-2</v>
      </c>
      <c r="G3">
        <f t="shared" ref="G3:G66" si="2">A3-1</f>
        <v>0</v>
      </c>
      <c r="H3">
        <f t="shared" ref="H3:H66" si="3">F3*G3</f>
        <v>0</v>
      </c>
      <c r="I3">
        <f t="shared" ref="I3:I66" si="4">IF(A3=1,D3,E3)</f>
        <v>136</v>
      </c>
      <c r="J3">
        <v>5.8823529411764705E-2</v>
      </c>
      <c r="K3">
        <v>136</v>
      </c>
      <c r="L3" t="e">
        <v>#N/A</v>
      </c>
      <c r="M3">
        <f t="shared" ref="M3:M66" si="5">$AA$17+$AA$18*J3</f>
        <v>198.77792955810855</v>
      </c>
      <c r="N3">
        <v>5.8823529411764705E-2</v>
      </c>
      <c r="O3">
        <v>136</v>
      </c>
      <c r="P3" t="e">
        <v>#N/A</v>
      </c>
      <c r="Q3">
        <f t="shared" ref="Q3:Q44" si="6">$AA$37+$AA$38*$F3+$AA$39*$G3</f>
        <v>171.23106402566472</v>
      </c>
      <c r="R3" t="e">
        <f>NA()</f>
        <v>#N/A</v>
      </c>
      <c r="S3">
        <v>5.8823529411764705E-2</v>
      </c>
      <c r="T3">
        <v>136</v>
      </c>
      <c r="U3" t="e">
        <v>#N/A</v>
      </c>
      <c r="V3">
        <f t="shared" ref="V3:V44" si="7">$AA$57+$AA$58*$F3+$AA$59*$G3+$AA$60*$H3</f>
        <v>138.40274849218181</v>
      </c>
      <c r="W3" t="e">
        <f>NA()</f>
        <v>#N/A</v>
      </c>
      <c r="Z3" s="3" t="s">
        <v>10</v>
      </c>
      <c r="AA3" s="3"/>
      <c r="AB3" s="2"/>
      <c r="AC3" s="2"/>
      <c r="AD3" s="2"/>
      <c r="AE3" s="2"/>
      <c r="AF3" s="2"/>
      <c r="AG3" s="2"/>
      <c r="AH3" s="2"/>
    </row>
    <row r="4" spans="1:34">
      <c r="A4" s="1">
        <v>1</v>
      </c>
      <c r="B4">
        <v>20</v>
      </c>
      <c r="C4">
        <f t="shared" si="0"/>
        <v>0.05</v>
      </c>
      <c r="D4">
        <v>121.9</v>
      </c>
      <c r="E4" t="e">
        <f>NA()</f>
        <v>#N/A</v>
      </c>
      <c r="F4">
        <f t="shared" si="1"/>
        <v>0.05</v>
      </c>
      <c r="G4">
        <f t="shared" si="2"/>
        <v>0</v>
      </c>
      <c r="H4">
        <f t="shared" si="3"/>
        <v>0</v>
      </c>
      <c r="I4">
        <f t="shared" si="4"/>
        <v>121.9</v>
      </c>
      <c r="J4">
        <v>0.05</v>
      </c>
      <c r="K4">
        <v>121.9</v>
      </c>
      <c r="L4" t="e">
        <v>#N/A</v>
      </c>
      <c r="M4">
        <f t="shared" si="5"/>
        <v>166.06913610308175</v>
      </c>
      <c r="N4">
        <v>0.05</v>
      </c>
      <c r="O4">
        <v>121.9</v>
      </c>
      <c r="P4" t="e">
        <v>#N/A</v>
      </c>
      <c r="Q4">
        <f t="shared" si="6"/>
        <v>142.35906324071468</v>
      </c>
      <c r="R4" t="e">
        <f>NA()</f>
        <v>#N/A</v>
      </c>
      <c r="S4">
        <v>0.05</v>
      </c>
      <c r="T4">
        <v>121.9</v>
      </c>
      <c r="U4" t="e">
        <v>#N/A</v>
      </c>
      <c r="V4">
        <f t="shared" si="7"/>
        <v>117.83709559617519</v>
      </c>
      <c r="W4" t="e">
        <f>NA()</f>
        <v>#N/A</v>
      </c>
      <c r="Z4" s="4" t="s">
        <v>11</v>
      </c>
      <c r="AA4" s="4">
        <v>0.9037797271534016</v>
      </c>
      <c r="AB4" s="2"/>
      <c r="AC4" s="2"/>
      <c r="AD4" s="2"/>
      <c r="AE4" s="2"/>
      <c r="AF4" s="2"/>
      <c r="AG4" s="2"/>
      <c r="AH4" s="2"/>
    </row>
    <row r="5" spans="1:34">
      <c r="A5" s="1">
        <v>1</v>
      </c>
      <c r="B5">
        <v>23</v>
      </c>
      <c r="C5">
        <f t="shared" si="0"/>
        <v>4.3478260869565216E-2</v>
      </c>
      <c r="D5">
        <v>111</v>
      </c>
      <c r="E5" t="e">
        <f>NA()</f>
        <v>#N/A</v>
      </c>
      <c r="F5">
        <f t="shared" si="1"/>
        <v>4.3478260869565216E-2</v>
      </c>
      <c r="G5">
        <f t="shared" si="2"/>
        <v>0</v>
      </c>
      <c r="H5">
        <f t="shared" si="3"/>
        <v>0</v>
      </c>
      <c r="I5">
        <f t="shared" si="4"/>
        <v>111</v>
      </c>
      <c r="J5">
        <v>4.3478260869565216E-2</v>
      </c>
      <c r="K5">
        <v>111</v>
      </c>
      <c r="L5" t="e">
        <v>#N/A</v>
      </c>
      <c r="M5">
        <f t="shared" si="5"/>
        <v>141.89307137545319</v>
      </c>
      <c r="N5">
        <v>4.3478260869565216E-2</v>
      </c>
      <c r="O5">
        <v>111</v>
      </c>
      <c r="P5" t="e">
        <v>#N/A</v>
      </c>
      <c r="Q5">
        <f t="shared" si="6"/>
        <v>121.01888874749071</v>
      </c>
      <c r="R5" t="e">
        <f>NA()</f>
        <v>#N/A</v>
      </c>
      <c r="S5">
        <v>4.3478260869565216E-2</v>
      </c>
      <c r="T5">
        <v>111</v>
      </c>
      <c r="U5" t="e">
        <v>#N/A</v>
      </c>
      <c r="V5">
        <f t="shared" si="7"/>
        <v>102.63639562956158</v>
      </c>
      <c r="W5" t="e">
        <f>NA()</f>
        <v>#N/A</v>
      </c>
      <c r="Z5" s="4" t="s">
        <v>12</v>
      </c>
      <c r="AA5" s="4">
        <v>0.81681779521347708</v>
      </c>
      <c r="AB5" s="2"/>
      <c r="AC5" s="2"/>
      <c r="AD5" s="2"/>
      <c r="AE5" s="2"/>
      <c r="AF5" s="2"/>
      <c r="AG5" s="2"/>
      <c r="AH5" s="2"/>
    </row>
    <row r="6" spans="1:34">
      <c r="A6" s="1">
        <v>1</v>
      </c>
      <c r="B6">
        <v>23</v>
      </c>
      <c r="C6">
        <f t="shared" si="0"/>
        <v>4.3478260869565216E-2</v>
      </c>
      <c r="D6">
        <v>99.9</v>
      </c>
      <c r="E6" t="e">
        <f>NA()</f>
        <v>#N/A</v>
      </c>
      <c r="F6">
        <f t="shared" si="1"/>
        <v>4.3478260869565216E-2</v>
      </c>
      <c r="G6">
        <f t="shared" si="2"/>
        <v>0</v>
      </c>
      <c r="H6">
        <f t="shared" si="3"/>
        <v>0</v>
      </c>
      <c r="I6">
        <f t="shared" si="4"/>
        <v>99.9</v>
      </c>
      <c r="J6">
        <v>4.3478260869565216E-2</v>
      </c>
      <c r="K6">
        <v>99.9</v>
      </c>
      <c r="L6" t="e">
        <v>#N/A</v>
      </c>
      <c r="M6">
        <f t="shared" si="5"/>
        <v>141.89307137545319</v>
      </c>
      <c r="N6">
        <v>4.3478260869565216E-2</v>
      </c>
      <c r="O6">
        <v>99.9</v>
      </c>
      <c r="P6" t="e">
        <v>#N/A</v>
      </c>
      <c r="Q6">
        <f t="shared" si="6"/>
        <v>121.01888874749071</v>
      </c>
      <c r="R6" t="e">
        <f>NA()</f>
        <v>#N/A</v>
      </c>
      <c r="S6">
        <v>4.3478260869565216E-2</v>
      </c>
      <c r="T6">
        <v>99.9</v>
      </c>
      <c r="U6" t="e">
        <v>#N/A</v>
      </c>
      <c r="V6">
        <f t="shared" si="7"/>
        <v>102.63639562956158</v>
      </c>
      <c r="W6" t="e">
        <f>NA()</f>
        <v>#N/A</v>
      </c>
      <c r="Z6" s="4" t="s">
        <v>13</v>
      </c>
      <c r="AA6" s="4">
        <v>0.81399960744753064</v>
      </c>
      <c r="AB6" s="2"/>
      <c r="AC6" s="2"/>
      <c r="AD6" s="2"/>
      <c r="AE6" s="2"/>
      <c r="AF6" s="2"/>
      <c r="AG6" s="2"/>
      <c r="AH6" s="2"/>
    </row>
    <row r="7" spans="1:34">
      <c r="A7" s="1">
        <v>1</v>
      </c>
      <c r="B7">
        <v>25</v>
      </c>
      <c r="C7">
        <f t="shared" si="0"/>
        <v>0.04</v>
      </c>
      <c r="D7">
        <v>98.9</v>
      </c>
      <c r="E7" t="e">
        <f>NA()</f>
        <v>#N/A</v>
      </c>
      <c r="F7">
        <f t="shared" si="1"/>
        <v>0.04</v>
      </c>
      <c r="G7">
        <f t="shared" si="2"/>
        <v>0</v>
      </c>
      <c r="H7">
        <f t="shared" si="3"/>
        <v>0</v>
      </c>
      <c r="I7">
        <f t="shared" si="4"/>
        <v>98.9</v>
      </c>
      <c r="J7">
        <v>0.04</v>
      </c>
      <c r="K7">
        <v>98.9</v>
      </c>
      <c r="L7" t="e">
        <v>#N/A</v>
      </c>
      <c r="M7">
        <f t="shared" si="5"/>
        <v>128.99917018738466</v>
      </c>
      <c r="N7">
        <v>0.04</v>
      </c>
      <c r="O7">
        <v>98.9</v>
      </c>
      <c r="P7" t="e">
        <v>#N/A</v>
      </c>
      <c r="Q7">
        <f t="shared" si="6"/>
        <v>109.6374623511046</v>
      </c>
      <c r="R7" t="e">
        <f>NA()</f>
        <v>#N/A</v>
      </c>
      <c r="S7">
        <v>0.04</v>
      </c>
      <c r="T7">
        <v>98.9</v>
      </c>
      <c r="U7" t="e">
        <v>#N/A</v>
      </c>
      <c r="V7">
        <f t="shared" si="7"/>
        <v>94.529355647367652</v>
      </c>
      <c r="W7" t="e">
        <f>NA()</f>
        <v>#N/A</v>
      </c>
      <c r="Z7" s="4" t="s">
        <v>14</v>
      </c>
      <c r="AA7" s="4">
        <v>29.8627170178694</v>
      </c>
      <c r="AB7" s="2"/>
      <c r="AC7" s="2"/>
      <c r="AD7" s="2"/>
      <c r="AE7" s="2"/>
      <c r="AF7" s="2"/>
      <c r="AG7" s="2"/>
      <c r="AH7" s="2"/>
    </row>
    <row r="8" spans="1:34" ht="15.75" thickBot="1">
      <c r="A8" s="1">
        <v>1</v>
      </c>
      <c r="B8">
        <v>25</v>
      </c>
      <c r="C8">
        <f t="shared" si="0"/>
        <v>0.04</v>
      </c>
      <c r="D8">
        <v>105.2</v>
      </c>
      <c r="E8" t="e">
        <f>NA()</f>
        <v>#N/A</v>
      </c>
      <c r="F8">
        <f t="shared" si="1"/>
        <v>0.04</v>
      </c>
      <c r="G8">
        <f t="shared" si="2"/>
        <v>0</v>
      </c>
      <c r="H8">
        <f t="shared" si="3"/>
        <v>0</v>
      </c>
      <c r="I8">
        <f t="shared" si="4"/>
        <v>105.2</v>
      </c>
      <c r="J8">
        <v>0.04</v>
      </c>
      <c r="K8">
        <v>105.2</v>
      </c>
      <c r="L8" t="e">
        <v>#N/A</v>
      </c>
      <c r="M8">
        <f t="shared" si="5"/>
        <v>128.99917018738466</v>
      </c>
      <c r="N8">
        <v>0.04</v>
      </c>
      <c r="O8">
        <v>105.2</v>
      </c>
      <c r="P8" t="e">
        <v>#N/A</v>
      </c>
      <c r="Q8">
        <f t="shared" si="6"/>
        <v>109.6374623511046</v>
      </c>
      <c r="R8" t="e">
        <f>NA()</f>
        <v>#N/A</v>
      </c>
      <c r="S8">
        <v>0.04</v>
      </c>
      <c r="T8">
        <v>105.2</v>
      </c>
      <c r="U8" t="e">
        <v>#N/A</v>
      </c>
      <c r="V8">
        <f t="shared" si="7"/>
        <v>94.529355647367652</v>
      </c>
      <c r="W8" t="e">
        <f>NA()</f>
        <v>#N/A</v>
      </c>
      <c r="Z8" s="5" t="s">
        <v>15</v>
      </c>
      <c r="AA8" s="5">
        <v>67</v>
      </c>
      <c r="AB8" s="2"/>
      <c r="AC8" s="2"/>
      <c r="AD8" s="2"/>
      <c r="AE8" s="2"/>
      <c r="AF8" s="2"/>
      <c r="AG8" s="2"/>
      <c r="AH8" s="2"/>
    </row>
    <row r="9" spans="1:34">
      <c r="A9" s="1">
        <v>1</v>
      </c>
      <c r="B9">
        <v>28</v>
      </c>
      <c r="C9">
        <f t="shared" si="0"/>
        <v>3.5714285714285712E-2</v>
      </c>
      <c r="D9">
        <v>84.3</v>
      </c>
      <c r="E9" t="e">
        <f>NA()</f>
        <v>#N/A</v>
      </c>
      <c r="F9">
        <f t="shared" si="1"/>
        <v>3.5714285714285712E-2</v>
      </c>
      <c r="G9">
        <f t="shared" si="2"/>
        <v>0</v>
      </c>
      <c r="H9">
        <f t="shared" si="3"/>
        <v>0</v>
      </c>
      <c r="I9">
        <f t="shared" si="4"/>
        <v>84.3</v>
      </c>
      <c r="J9">
        <v>3.5714285714285712E-2</v>
      </c>
      <c r="K9">
        <v>84.3</v>
      </c>
      <c r="L9" t="e">
        <v>#N/A</v>
      </c>
      <c r="M9">
        <f t="shared" si="5"/>
        <v>113.11204193780016</v>
      </c>
      <c r="N9">
        <v>3.5714285714285712E-2</v>
      </c>
      <c r="O9">
        <v>84.3</v>
      </c>
      <c r="P9" t="e">
        <v>#N/A</v>
      </c>
      <c r="Q9">
        <f t="shared" si="6"/>
        <v>95.613919112700302</v>
      </c>
      <c r="R9" t="e">
        <f>NA()</f>
        <v>#N/A</v>
      </c>
      <c r="S9">
        <v>3.5714285714285712E-2</v>
      </c>
      <c r="T9">
        <v>84.3</v>
      </c>
      <c r="U9" t="e">
        <v>#N/A</v>
      </c>
      <c r="V9">
        <f t="shared" si="7"/>
        <v>84.540324240735842</v>
      </c>
      <c r="W9" t="e">
        <f>NA()</f>
        <v>#N/A</v>
      </c>
      <c r="Z9" s="2"/>
      <c r="AA9" s="2"/>
      <c r="AB9" s="2"/>
      <c r="AC9" s="2"/>
      <c r="AD9" s="2"/>
      <c r="AE9" s="2"/>
      <c r="AF9" s="2"/>
      <c r="AG9" s="2"/>
      <c r="AH9" s="2"/>
    </row>
    <row r="10" spans="1:34" ht="15.75" thickBot="1">
      <c r="A10" s="1">
        <v>1</v>
      </c>
      <c r="B10">
        <v>30</v>
      </c>
      <c r="C10">
        <f t="shared" si="0"/>
        <v>3.3333333333333333E-2</v>
      </c>
      <c r="D10">
        <v>79</v>
      </c>
      <c r="E10" t="e">
        <f>NA()</f>
        <v>#N/A</v>
      </c>
      <c r="F10">
        <f t="shared" si="1"/>
        <v>3.3333333333333333E-2</v>
      </c>
      <c r="G10">
        <f t="shared" si="2"/>
        <v>0</v>
      </c>
      <c r="H10">
        <f t="shared" si="3"/>
        <v>0</v>
      </c>
      <c r="I10">
        <f t="shared" si="4"/>
        <v>79</v>
      </c>
      <c r="J10">
        <v>3.3333333333333333E-2</v>
      </c>
      <c r="K10">
        <v>79</v>
      </c>
      <c r="L10" t="e">
        <v>#N/A</v>
      </c>
      <c r="M10">
        <f t="shared" si="5"/>
        <v>104.28585957691992</v>
      </c>
      <c r="N10">
        <v>3.3333333333333333E-2</v>
      </c>
      <c r="O10">
        <v>79</v>
      </c>
      <c r="P10" t="e">
        <v>#N/A</v>
      </c>
      <c r="Q10">
        <f t="shared" si="6"/>
        <v>87.823061758031244</v>
      </c>
      <c r="R10" t="e">
        <f>NA()</f>
        <v>#N/A</v>
      </c>
      <c r="S10">
        <v>3.3333333333333333E-2</v>
      </c>
      <c r="T10">
        <v>79</v>
      </c>
      <c r="U10" t="e">
        <v>#N/A</v>
      </c>
      <c r="V10">
        <f t="shared" si="7"/>
        <v>78.990862348162636</v>
      </c>
      <c r="W10" t="e">
        <f>NA()</f>
        <v>#N/A</v>
      </c>
      <c r="Z10" s="2" t="s">
        <v>16</v>
      </c>
      <c r="AA10" s="2"/>
      <c r="AB10" s="2"/>
      <c r="AC10" s="2"/>
      <c r="AD10" s="2"/>
      <c r="AE10" s="2"/>
      <c r="AF10" s="2"/>
      <c r="AG10" s="2"/>
      <c r="AH10" s="2"/>
    </row>
    <row r="11" spans="1:34">
      <c r="A11" s="1">
        <v>1</v>
      </c>
      <c r="B11">
        <v>31</v>
      </c>
      <c r="C11">
        <f t="shared" si="0"/>
        <v>3.2258064516129031E-2</v>
      </c>
      <c r="D11">
        <v>80</v>
      </c>
      <c r="E11" t="e">
        <f>NA()</f>
        <v>#N/A</v>
      </c>
      <c r="F11">
        <f t="shared" si="1"/>
        <v>3.2258064516129031E-2</v>
      </c>
      <c r="G11">
        <f t="shared" si="2"/>
        <v>0</v>
      </c>
      <c r="H11">
        <f t="shared" si="3"/>
        <v>0</v>
      </c>
      <c r="I11">
        <f t="shared" si="4"/>
        <v>80</v>
      </c>
      <c r="J11">
        <v>3.2258064516129031E-2</v>
      </c>
      <c r="K11">
        <v>80</v>
      </c>
      <c r="L11" t="e">
        <v>#N/A</v>
      </c>
      <c r="M11">
        <f t="shared" si="5"/>
        <v>100.29984173652238</v>
      </c>
      <c r="N11">
        <v>3.2258064516129031E-2</v>
      </c>
      <c r="O11">
        <v>80</v>
      </c>
      <c r="P11" t="e">
        <v>#N/A</v>
      </c>
      <c r="Q11">
        <f t="shared" si="6"/>
        <v>84.304610049471023</v>
      </c>
      <c r="R11" t="e">
        <f>NA()</f>
        <v>#N/A</v>
      </c>
      <c r="S11">
        <v>3.2258064516129031E-2</v>
      </c>
      <c r="T11">
        <v>80</v>
      </c>
      <c r="U11" t="e">
        <v>#N/A</v>
      </c>
      <c r="V11">
        <f t="shared" si="7"/>
        <v>76.48465375151666</v>
      </c>
      <c r="W11" t="e">
        <f>NA()</f>
        <v>#N/A</v>
      </c>
      <c r="Z11" s="6"/>
      <c r="AA11" s="6" t="s">
        <v>21</v>
      </c>
      <c r="AB11" s="6" t="s">
        <v>22</v>
      </c>
      <c r="AC11" s="6" t="s">
        <v>23</v>
      </c>
      <c r="AD11" s="6" t="s">
        <v>24</v>
      </c>
      <c r="AE11" s="6" t="s">
        <v>25</v>
      </c>
      <c r="AF11" s="2"/>
      <c r="AG11" s="2"/>
      <c r="AH11" s="2"/>
    </row>
    <row r="12" spans="1:34">
      <c r="A12" s="1">
        <v>1</v>
      </c>
      <c r="B12">
        <v>33</v>
      </c>
      <c r="C12">
        <f t="shared" si="0"/>
        <v>3.0303030303030304E-2</v>
      </c>
      <c r="D12">
        <v>80</v>
      </c>
      <c r="E12" t="e">
        <f>NA()</f>
        <v>#N/A</v>
      </c>
      <c r="F12">
        <f t="shared" si="1"/>
        <v>3.0303030303030304E-2</v>
      </c>
      <c r="G12">
        <f t="shared" si="2"/>
        <v>0</v>
      </c>
      <c r="H12">
        <f t="shared" si="3"/>
        <v>0</v>
      </c>
      <c r="I12">
        <f t="shared" si="4"/>
        <v>80</v>
      </c>
      <c r="J12">
        <v>3.0303030303030304E-2</v>
      </c>
      <c r="K12">
        <v>80</v>
      </c>
      <c r="L12" t="e">
        <v>#N/A</v>
      </c>
      <c r="M12">
        <f t="shared" si="5"/>
        <v>93.052536572163234</v>
      </c>
      <c r="N12">
        <v>3.0303030303030304E-2</v>
      </c>
      <c r="O12">
        <v>80</v>
      </c>
      <c r="P12" t="e">
        <v>#N/A</v>
      </c>
      <c r="Q12">
        <f t="shared" si="6"/>
        <v>77.907425124816072</v>
      </c>
      <c r="R12" t="e">
        <f>NA()</f>
        <v>#N/A</v>
      </c>
      <c r="S12">
        <v>3.0303030303030304E-2</v>
      </c>
      <c r="T12">
        <v>80</v>
      </c>
      <c r="U12" t="e">
        <v>#N/A</v>
      </c>
      <c r="V12">
        <f t="shared" si="7"/>
        <v>71.927910848523993</v>
      </c>
      <c r="W12" t="e">
        <f>NA()</f>
        <v>#N/A</v>
      </c>
      <c r="Z12" s="4" t="s">
        <v>17</v>
      </c>
      <c r="AA12" s="4">
        <v>1</v>
      </c>
      <c r="AB12" s="4">
        <v>258472.23800317751</v>
      </c>
      <c r="AC12" s="4">
        <v>258472.23800317751</v>
      </c>
      <c r="AD12" s="4">
        <v>289.83796079291511</v>
      </c>
      <c r="AE12" s="4">
        <v>1.2023060687910232E-25</v>
      </c>
      <c r="AF12" s="2"/>
      <c r="AG12" s="2"/>
      <c r="AH12" s="2"/>
    </row>
    <row r="13" spans="1:34">
      <c r="A13" s="1">
        <v>1</v>
      </c>
      <c r="B13">
        <v>34</v>
      </c>
      <c r="C13">
        <f t="shared" si="0"/>
        <v>2.9411764705882353E-2</v>
      </c>
      <c r="D13">
        <v>75</v>
      </c>
      <c r="E13" t="e">
        <f>NA()</f>
        <v>#N/A</v>
      </c>
      <c r="F13">
        <f t="shared" si="1"/>
        <v>2.9411764705882353E-2</v>
      </c>
      <c r="G13">
        <f t="shared" si="2"/>
        <v>0</v>
      </c>
      <c r="H13">
        <f t="shared" si="3"/>
        <v>0</v>
      </c>
      <c r="I13">
        <f t="shared" si="4"/>
        <v>75</v>
      </c>
      <c r="J13">
        <v>2.9411764705882353E-2</v>
      </c>
      <c r="K13">
        <v>75</v>
      </c>
      <c r="L13" t="e">
        <v>#N/A</v>
      </c>
      <c r="M13">
        <f t="shared" si="5"/>
        <v>89.748618041352429</v>
      </c>
      <c r="N13">
        <v>2.9411764705882353E-2</v>
      </c>
      <c r="O13">
        <v>75</v>
      </c>
      <c r="P13" t="e">
        <v>#N/A</v>
      </c>
      <c r="Q13">
        <f t="shared" si="6"/>
        <v>74.991061409164558</v>
      </c>
      <c r="R13" t="e">
        <f>NA()</f>
        <v>#N/A</v>
      </c>
      <c r="S13">
        <v>2.9411764705882353E-2</v>
      </c>
      <c r="T13">
        <v>75</v>
      </c>
      <c r="U13" t="e">
        <v>#N/A</v>
      </c>
      <c r="V13">
        <f t="shared" si="7"/>
        <v>69.850572172159673</v>
      </c>
      <c r="W13" t="e">
        <f>NA()</f>
        <v>#N/A</v>
      </c>
      <c r="Z13" s="4" t="s">
        <v>18</v>
      </c>
      <c r="AA13" s="4">
        <v>65</v>
      </c>
      <c r="AB13" s="4">
        <v>57965.821399807537</v>
      </c>
      <c r="AC13" s="4">
        <v>891.78186768934677</v>
      </c>
      <c r="AD13" s="4"/>
      <c r="AE13" s="4"/>
      <c r="AF13" s="2"/>
      <c r="AG13" s="2"/>
      <c r="AH13" s="2"/>
    </row>
    <row r="14" spans="1:34" ht="15.75" thickBot="1">
      <c r="A14" s="1">
        <v>1</v>
      </c>
      <c r="B14">
        <v>35</v>
      </c>
      <c r="C14">
        <f t="shared" si="0"/>
        <v>2.8571428571428571E-2</v>
      </c>
      <c r="D14">
        <v>69.099999999999994</v>
      </c>
      <c r="E14" t="e">
        <f>NA()</f>
        <v>#N/A</v>
      </c>
      <c r="F14">
        <f t="shared" si="1"/>
        <v>2.8571428571428571E-2</v>
      </c>
      <c r="G14">
        <f t="shared" si="2"/>
        <v>0</v>
      </c>
      <c r="H14">
        <f t="shared" si="3"/>
        <v>0</v>
      </c>
      <c r="I14">
        <f t="shared" si="4"/>
        <v>69.099999999999994</v>
      </c>
      <c r="J14">
        <v>2.8571428571428571E-2</v>
      </c>
      <c r="K14">
        <v>69.099999999999994</v>
      </c>
      <c r="L14" t="e">
        <v>#N/A</v>
      </c>
      <c r="M14">
        <f t="shared" si="5"/>
        <v>86.633494855159398</v>
      </c>
      <c r="N14">
        <v>2.8571428571428571E-2</v>
      </c>
      <c r="O14">
        <v>69.099999999999994</v>
      </c>
      <c r="P14" t="e">
        <v>#N/A</v>
      </c>
      <c r="Q14">
        <f t="shared" si="6"/>
        <v>72.241347048693115</v>
      </c>
      <c r="R14" t="e">
        <f>NA()</f>
        <v>#N/A</v>
      </c>
      <c r="S14">
        <v>2.8571428571428571E-2</v>
      </c>
      <c r="T14">
        <v>69.099999999999994</v>
      </c>
      <c r="U14" t="e">
        <v>#N/A</v>
      </c>
      <c r="V14">
        <f t="shared" si="7"/>
        <v>67.891938563016183</v>
      </c>
      <c r="W14" t="e">
        <f>NA()</f>
        <v>#N/A</v>
      </c>
      <c r="Z14" s="5" t="s">
        <v>19</v>
      </c>
      <c r="AA14" s="5">
        <v>66</v>
      </c>
      <c r="AB14" s="5">
        <v>316438.05940298503</v>
      </c>
      <c r="AC14" s="5"/>
      <c r="AD14" s="5"/>
      <c r="AE14" s="5"/>
      <c r="AF14" s="2"/>
      <c r="AG14" s="2"/>
      <c r="AH14" s="2"/>
    </row>
    <row r="15" spans="1:34" ht="15.75" thickBot="1">
      <c r="A15" s="1">
        <v>1</v>
      </c>
      <c r="B15">
        <v>38</v>
      </c>
      <c r="C15">
        <f t="shared" si="0"/>
        <v>2.6315789473684209E-2</v>
      </c>
      <c r="D15">
        <v>55</v>
      </c>
      <c r="E15" t="e">
        <f>NA()</f>
        <v>#N/A</v>
      </c>
      <c r="F15">
        <f t="shared" si="1"/>
        <v>2.6315789473684209E-2</v>
      </c>
      <c r="G15">
        <f t="shared" si="2"/>
        <v>0</v>
      </c>
      <c r="H15">
        <f t="shared" si="3"/>
        <v>0</v>
      </c>
      <c r="I15">
        <f t="shared" si="4"/>
        <v>55</v>
      </c>
      <c r="J15">
        <v>2.6315789473684209E-2</v>
      </c>
      <c r="K15">
        <v>55</v>
      </c>
      <c r="L15" t="e">
        <v>#N/A</v>
      </c>
      <c r="M15">
        <f t="shared" si="5"/>
        <v>78.271848408009689</v>
      </c>
      <c r="N15">
        <v>2.6315789473684209E-2</v>
      </c>
      <c r="O15">
        <v>55</v>
      </c>
      <c r="P15" t="e">
        <v>#N/A</v>
      </c>
      <c r="Q15">
        <f t="shared" si="6"/>
        <v>64.860534817954004</v>
      </c>
      <c r="R15" t="e">
        <f>NA()</f>
        <v>#N/A</v>
      </c>
      <c r="S15">
        <v>2.6315789473684209E-2</v>
      </c>
      <c r="T15">
        <v>55</v>
      </c>
      <c r="U15" t="e">
        <v>#N/A</v>
      </c>
      <c r="V15">
        <f t="shared" si="7"/>
        <v>62.63455361215734</v>
      </c>
      <c r="W15" t="e">
        <f>NA()</f>
        <v>#N/A</v>
      </c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1">
        <v>1</v>
      </c>
      <c r="B16">
        <v>38</v>
      </c>
      <c r="C16">
        <f t="shared" si="0"/>
        <v>2.6315789473684209E-2</v>
      </c>
      <c r="D16">
        <v>70.400000000000006</v>
      </c>
      <c r="E16" t="e">
        <f>NA()</f>
        <v>#N/A</v>
      </c>
      <c r="F16">
        <f t="shared" si="1"/>
        <v>2.6315789473684209E-2</v>
      </c>
      <c r="G16">
        <f t="shared" si="2"/>
        <v>0</v>
      </c>
      <c r="H16">
        <f t="shared" si="3"/>
        <v>0</v>
      </c>
      <c r="I16">
        <f t="shared" si="4"/>
        <v>70.400000000000006</v>
      </c>
      <c r="J16">
        <v>2.6315789473684209E-2</v>
      </c>
      <c r="K16">
        <v>70.400000000000006</v>
      </c>
      <c r="L16" t="e">
        <v>#N/A</v>
      </c>
      <c r="M16">
        <f t="shared" si="5"/>
        <v>78.271848408009689</v>
      </c>
      <c r="N16">
        <v>2.6315789473684209E-2</v>
      </c>
      <c r="O16">
        <v>70.400000000000006</v>
      </c>
      <c r="P16" t="e">
        <v>#N/A</v>
      </c>
      <c r="Q16">
        <f t="shared" si="6"/>
        <v>64.860534817954004</v>
      </c>
      <c r="R16" t="e">
        <f>NA()</f>
        <v>#N/A</v>
      </c>
      <c r="S16">
        <v>2.6315789473684209E-2</v>
      </c>
      <c r="T16">
        <v>70.400000000000006</v>
      </c>
      <c r="U16" t="e">
        <v>#N/A</v>
      </c>
      <c r="V16">
        <f t="shared" si="7"/>
        <v>62.63455361215734</v>
      </c>
      <c r="W16" t="e">
        <f>NA()</f>
        <v>#N/A</v>
      </c>
      <c r="Z16" s="6"/>
      <c r="AA16" s="6" t="s">
        <v>26</v>
      </c>
      <c r="AB16" s="6" t="s">
        <v>14</v>
      </c>
      <c r="AC16" s="6" t="s">
        <v>27</v>
      </c>
      <c r="AD16" s="6" t="s">
        <v>28</v>
      </c>
      <c r="AE16" s="6" t="s">
        <v>29</v>
      </c>
      <c r="AF16" s="6" t="s">
        <v>30</v>
      </c>
      <c r="AG16" s="6" t="s">
        <v>31</v>
      </c>
      <c r="AH16" s="6" t="s">
        <v>32</v>
      </c>
    </row>
    <row r="17" spans="1:34">
      <c r="A17" s="1">
        <v>1</v>
      </c>
      <c r="B17">
        <v>39</v>
      </c>
      <c r="C17">
        <f t="shared" si="0"/>
        <v>2.564102564102564E-2</v>
      </c>
      <c r="D17">
        <v>64.5</v>
      </c>
      <c r="E17" t="e">
        <f>NA()</f>
        <v>#N/A</v>
      </c>
      <c r="F17">
        <f t="shared" si="1"/>
        <v>2.564102564102564E-2</v>
      </c>
      <c r="G17">
        <f t="shared" si="2"/>
        <v>0</v>
      </c>
      <c r="H17">
        <f t="shared" si="3"/>
        <v>0</v>
      </c>
      <c r="I17">
        <f t="shared" si="4"/>
        <v>64.5</v>
      </c>
      <c r="J17">
        <v>2.564102564102564E-2</v>
      </c>
      <c r="K17">
        <v>64.5</v>
      </c>
      <c r="L17" t="e">
        <v>#N/A</v>
      </c>
      <c r="M17">
        <f t="shared" si="5"/>
        <v>75.770501180229857</v>
      </c>
      <c r="N17">
        <v>2.564102564102564E-2</v>
      </c>
      <c r="O17">
        <v>64.5</v>
      </c>
      <c r="P17" t="e">
        <v>#N/A</v>
      </c>
      <c r="Q17">
        <f t="shared" si="6"/>
        <v>62.652599535254268</v>
      </c>
      <c r="R17" t="e">
        <f>NA()</f>
        <v>#N/A</v>
      </c>
      <c r="S17">
        <v>2.564102564102564E-2</v>
      </c>
      <c r="T17">
        <v>64.5</v>
      </c>
      <c r="U17" t="e">
        <v>#N/A</v>
      </c>
      <c r="V17">
        <f t="shared" si="7"/>
        <v>61.061831618310684</v>
      </c>
      <c r="W17" t="e">
        <f>NA()</f>
        <v>#N/A</v>
      </c>
      <c r="Z17" s="4" t="s">
        <v>20</v>
      </c>
      <c r="AA17" s="4">
        <v>-19.28069347540368</v>
      </c>
      <c r="AB17" s="4">
        <v>7.230797888935264</v>
      </c>
      <c r="AC17" s="4">
        <v>-2.6664683167133529</v>
      </c>
      <c r="AD17" s="4">
        <v>9.6621330718186099E-3</v>
      </c>
      <c r="AE17" s="4">
        <v>-33.721594047317183</v>
      </c>
      <c r="AF17" s="4">
        <v>-4.8397929034901814</v>
      </c>
      <c r="AG17" s="4">
        <v>-33.721594047317183</v>
      </c>
      <c r="AH17" s="4">
        <v>-4.8397929034901814</v>
      </c>
    </row>
    <row r="18" spans="1:34" ht="15.75" thickBot="1">
      <c r="A18" s="1">
        <v>1</v>
      </c>
      <c r="B18">
        <v>40</v>
      </c>
      <c r="C18">
        <f t="shared" si="0"/>
        <v>2.5000000000000001E-2</v>
      </c>
      <c r="D18">
        <v>60</v>
      </c>
      <c r="E18" t="e">
        <f>NA()</f>
        <v>#N/A</v>
      </c>
      <c r="F18">
        <f t="shared" si="1"/>
        <v>2.5000000000000001E-2</v>
      </c>
      <c r="G18">
        <f t="shared" si="2"/>
        <v>0</v>
      </c>
      <c r="H18">
        <f t="shared" si="3"/>
        <v>0</v>
      </c>
      <c r="I18">
        <f t="shared" si="4"/>
        <v>60</v>
      </c>
      <c r="J18">
        <v>2.5000000000000001E-2</v>
      </c>
      <c r="K18">
        <v>60</v>
      </c>
      <c r="L18" t="e">
        <v>#N/A</v>
      </c>
      <c r="M18">
        <f t="shared" si="5"/>
        <v>73.394221313839026</v>
      </c>
      <c r="N18">
        <v>2.5000000000000001E-2</v>
      </c>
      <c r="O18">
        <v>60</v>
      </c>
      <c r="P18" t="e">
        <v>#N/A</v>
      </c>
      <c r="Q18">
        <f t="shared" si="6"/>
        <v>60.555061016689535</v>
      </c>
      <c r="R18" t="e">
        <f>NA()</f>
        <v>#N/A</v>
      </c>
      <c r="S18">
        <v>2.5000000000000001E-2</v>
      </c>
      <c r="T18">
        <v>60</v>
      </c>
      <c r="U18" t="e">
        <v>#N/A</v>
      </c>
      <c r="V18">
        <f t="shared" si="7"/>
        <v>59.56774572415636</v>
      </c>
      <c r="W18" t="e">
        <f>NA()</f>
        <v>#N/A</v>
      </c>
      <c r="Z18" s="5" t="s">
        <v>5</v>
      </c>
      <c r="AA18" s="5">
        <v>3706.996591569708</v>
      </c>
      <c r="AB18" s="5">
        <v>217.74317636497557</v>
      </c>
      <c r="AC18" s="5">
        <v>17.024628066213818</v>
      </c>
      <c r="AD18" s="5">
        <v>1.202306068791006E-25</v>
      </c>
      <c r="AE18" s="5">
        <v>3272.1334397575292</v>
      </c>
      <c r="AF18" s="5">
        <v>4141.8597433818868</v>
      </c>
      <c r="AG18" s="5">
        <v>3272.1334397575292</v>
      </c>
      <c r="AH18" s="5">
        <v>4141.8597433818868</v>
      </c>
    </row>
    <row r="19" spans="1:34">
      <c r="A19" s="1">
        <v>1</v>
      </c>
      <c r="B19">
        <v>40</v>
      </c>
      <c r="C19">
        <f t="shared" si="0"/>
        <v>2.5000000000000001E-2</v>
      </c>
      <c r="D19">
        <v>68</v>
      </c>
      <c r="E19" t="e">
        <f>NA()</f>
        <v>#N/A</v>
      </c>
      <c r="F19">
        <f t="shared" si="1"/>
        <v>2.5000000000000001E-2</v>
      </c>
      <c r="G19">
        <f t="shared" si="2"/>
        <v>0</v>
      </c>
      <c r="H19">
        <f t="shared" si="3"/>
        <v>0</v>
      </c>
      <c r="I19">
        <f t="shared" si="4"/>
        <v>68</v>
      </c>
      <c r="J19">
        <v>2.5000000000000001E-2</v>
      </c>
      <c r="K19">
        <v>68</v>
      </c>
      <c r="L19" t="e">
        <v>#N/A</v>
      </c>
      <c r="M19">
        <f t="shared" si="5"/>
        <v>73.394221313839026</v>
      </c>
      <c r="N19">
        <v>2.5000000000000001E-2</v>
      </c>
      <c r="O19">
        <v>68</v>
      </c>
      <c r="P19" t="e">
        <v>#N/A</v>
      </c>
      <c r="Q19">
        <f t="shared" si="6"/>
        <v>60.555061016689535</v>
      </c>
      <c r="R19" t="e">
        <f>NA()</f>
        <v>#N/A</v>
      </c>
      <c r="S19">
        <v>2.5000000000000001E-2</v>
      </c>
      <c r="T19">
        <v>68</v>
      </c>
      <c r="U19" t="e">
        <v>#N/A</v>
      </c>
      <c r="V19">
        <f t="shared" si="7"/>
        <v>59.56774572415636</v>
      </c>
      <c r="W19" t="e">
        <f>NA()</f>
        <v>#N/A</v>
      </c>
    </row>
    <row r="20" spans="1:34">
      <c r="A20" s="1">
        <v>1</v>
      </c>
      <c r="B20">
        <v>40</v>
      </c>
      <c r="C20">
        <f t="shared" si="0"/>
        <v>2.5000000000000001E-2</v>
      </c>
      <c r="D20">
        <v>65.8</v>
      </c>
      <c r="E20" t="e">
        <f>NA()</f>
        <v>#N/A</v>
      </c>
      <c r="F20">
        <f t="shared" si="1"/>
        <v>2.5000000000000001E-2</v>
      </c>
      <c r="G20">
        <f t="shared" si="2"/>
        <v>0</v>
      </c>
      <c r="H20">
        <f t="shared" si="3"/>
        <v>0</v>
      </c>
      <c r="I20">
        <f t="shared" si="4"/>
        <v>65.8</v>
      </c>
      <c r="J20">
        <v>2.5000000000000001E-2</v>
      </c>
      <c r="K20">
        <v>65.8</v>
      </c>
      <c r="L20" t="e">
        <v>#N/A</v>
      </c>
      <c r="M20">
        <f t="shared" si="5"/>
        <v>73.394221313839026</v>
      </c>
      <c r="N20">
        <v>2.5000000000000001E-2</v>
      </c>
      <c r="O20">
        <v>65.8</v>
      </c>
      <c r="P20" t="e">
        <v>#N/A</v>
      </c>
      <c r="Q20">
        <f t="shared" si="6"/>
        <v>60.555061016689535</v>
      </c>
      <c r="R20" t="e">
        <f>NA()</f>
        <v>#N/A</v>
      </c>
      <c r="S20">
        <v>2.5000000000000001E-2</v>
      </c>
      <c r="T20">
        <v>65.8</v>
      </c>
      <c r="U20" t="e">
        <v>#N/A</v>
      </c>
      <c r="V20">
        <f t="shared" si="7"/>
        <v>59.56774572415636</v>
      </c>
      <c r="W20" t="e">
        <f>NA()</f>
        <v>#N/A</v>
      </c>
    </row>
    <row r="21" spans="1:34">
      <c r="A21" s="1">
        <v>1</v>
      </c>
      <c r="B21">
        <v>45</v>
      </c>
      <c r="C21">
        <f t="shared" si="0"/>
        <v>2.2222222222222223E-2</v>
      </c>
      <c r="D21">
        <v>51.9</v>
      </c>
      <c r="E21" t="e">
        <f>NA()</f>
        <v>#N/A</v>
      </c>
      <c r="F21">
        <f t="shared" si="1"/>
        <v>2.2222222222222223E-2</v>
      </c>
      <c r="G21">
        <f t="shared" si="2"/>
        <v>0</v>
      </c>
      <c r="H21">
        <f t="shared" si="3"/>
        <v>0</v>
      </c>
      <c r="I21">
        <f t="shared" si="4"/>
        <v>51.9</v>
      </c>
      <c r="J21">
        <v>2.2222222222222223E-2</v>
      </c>
      <c r="K21">
        <v>51.9</v>
      </c>
      <c r="L21" t="e">
        <v>#N/A</v>
      </c>
      <c r="M21">
        <f t="shared" si="5"/>
        <v>63.097008559478724</v>
      </c>
      <c r="N21">
        <v>2.2222222222222223E-2</v>
      </c>
      <c r="O21">
        <v>51.9</v>
      </c>
      <c r="P21" t="e">
        <v>#N/A</v>
      </c>
      <c r="Q21">
        <f t="shared" si="6"/>
        <v>51.46572743624229</v>
      </c>
      <c r="R21" t="e">
        <f>NA()</f>
        <v>#N/A</v>
      </c>
      <c r="S21">
        <v>2.2222222222222223E-2</v>
      </c>
      <c r="T21">
        <v>51.9</v>
      </c>
      <c r="U21" t="e">
        <v>#N/A</v>
      </c>
      <c r="V21">
        <f t="shared" si="7"/>
        <v>53.093373516154266</v>
      </c>
      <c r="W21" t="e">
        <f>NA()</f>
        <v>#N/A</v>
      </c>
      <c r="Z21" s="7" t="s">
        <v>9</v>
      </c>
      <c r="AA21" s="7"/>
      <c r="AB21" s="7"/>
      <c r="AC21" s="7"/>
      <c r="AD21" s="7"/>
      <c r="AE21" s="7"/>
      <c r="AF21" s="7"/>
      <c r="AG21" s="7"/>
      <c r="AH21" s="7"/>
    </row>
    <row r="22" spans="1:34" ht="15.75" thickBot="1">
      <c r="A22" s="1">
        <v>1</v>
      </c>
      <c r="B22">
        <v>45</v>
      </c>
      <c r="C22">
        <f t="shared" si="0"/>
        <v>2.2222222222222223E-2</v>
      </c>
      <c r="D22">
        <v>55</v>
      </c>
      <c r="E22" t="e">
        <f>NA()</f>
        <v>#N/A</v>
      </c>
      <c r="F22">
        <f t="shared" si="1"/>
        <v>2.2222222222222223E-2</v>
      </c>
      <c r="G22">
        <f t="shared" si="2"/>
        <v>0</v>
      </c>
      <c r="H22">
        <f t="shared" si="3"/>
        <v>0</v>
      </c>
      <c r="I22">
        <f t="shared" si="4"/>
        <v>55</v>
      </c>
      <c r="J22">
        <v>2.2222222222222223E-2</v>
      </c>
      <c r="K22">
        <v>55</v>
      </c>
      <c r="L22" t="e">
        <v>#N/A</v>
      </c>
      <c r="M22">
        <f t="shared" si="5"/>
        <v>63.097008559478724</v>
      </c>
      <c r="N22">
        <v>2.2222222222222223E-2</v>
      </c>
      <c r="O22">
        <v>55</v>
      </c>
      <c r="P22" t="e">
        <v>#N/A</v>
      </c>
      <c r="Q22">
        <f t="shared" si="6"/>
        <v>51.46572743624229</v>
      </c>
      <c r="R22" t="e">
        <f>NA()</f>
        <v>#N/A</v>
      </c>
      <c r="S22">
        <v>2.2222222222222223E-2</v>
      </c>
      <c r="T22">
        <v>55</v>
      </c>
      <c r="U22" t="e">
        <v>#N/A</v>
      </c>
      <c r="V22">
        <f t="shared" si="7"/>
        <v>53.093373516154266</v>
      </c>
      <c r="W22" t="e">
        <f>NA()</f>
        <v>#N/A</v>
      </c>
      <c r="Z22" s="7"/>
      <c r="AA22" s="7"/>
      <c r="AB22" s="7"/>
      <c r="AC22" s="7"/>
      <c r="AD22" s="7"/>
      <c r="AE22" s="7"/>
      <c r="AF22" s="7"/>
      <c r="AG22" s="7"/>
      <c r="AH22" s="7"/>
    </row>
    <row r="23" spans="1:34">
      <c r="A23" s="1">
        <v>1</v>
      </c>
      <c r="B23">
        <v>48</v>
      </c>
      <c r="C23">
        <f t="shared" si="0"/>
        <v>2.0833333333333332E-2</v>
      </c>
      <c r="D23">
        <v>45</v>
      </c>
      <c r="E23" t="e">
        <f>NA()</f>
        <v>#N/A</v>
      </c>
      <c r="F23">
        <f t="shared" si="1"/>
        <v>2.0833333333333332E-2</v>
      </c>
      <c r="G23">
        <f t="shared" si="2"/>
        <v>0</v>
      </c>
      <c r="H23">
        <f t="shared" si="3"/>
        <v>0</v>
      </c>
      <c r="I23">
        <f t="shared" si="4"/>
        <v>45</v>
      </c>
      <c r="J23">
        <v>2.0833333333333332E-2</v>
      </c>
      <c r="K23">
        <v>45</v>
      </c>
      <c r="L23" t="e">
        <v>#N/A</v>
      </c>
      <c r="M23">
        <f t="shared" si="5"/>
        <v>57.948402182298565</v>
      </c>
      <c r="N23">
        <v>2.0833333333333332E-2</v>
      </c>
      <c r="O23">
        <v>45</v>
      </c>
      <c r="P23" t="e">
        <v>#N/A</v>
      </c>
      <c r="Q23">
        <f t="shared" si="6"/>
        <v>46.921060646018674</v>
      </c>
      <c r="R23" t="e">
        <f>NA()</f>
        <v>#N/A</v>
      </c>
      <c r="S23">
        <v>2.0833333333333332E-2</v>
      </c>
      <c r="T23">
        <v>45</v>
      </c>
      <c r="U23" t="e">
        <v>#N/A</v>
      </c>
      <c r="V23">
        <f t="shared" si="7"/>
        <v>49.856187412153218</v>
      </c>
      <c r="W23" t="e">
        <f>NA()</f>
        <v>#N/A</v>
      </c>
      <c r="Z23" s="8" t="s">
        <v>10</v>
      </c>
      <c r="AA23" s="8"/>
      <c r="AB23" s="7"/>
      <c r="AC23" s="7"/>
      <c r="AD23" s="7"/>
      <c r="AE23" s="7"/>
      <c r="AF23" s="7"/>
      <c r="AG23" s="7"/>
      <c r="AH23" s="7"/>
    </row>
    <row r="24" spans="1:34">
      <c r="A24" s="1">
        <v>1</v>
      </c>
      <c r="B24">
        <v>50</v>
      </c>
      <c r="C24">
        <f t="shared" si="0"/>
        <v>0.02</v>
      </c>
      <c r="D24">
        <v>50</v>
      </c>
      <c r="E24" t="e">
        <f>NA()</f>
        <v>#N/A</v>
      </c>
      <c r="F24">
        <f t="shared" si="1"/>
        <v>0.02</v>
      </c>
      <c r="G24">
        <f t="shared" si="2"/>
        <v>0</v>
      </c>
      <c r="H24">
        <f t="shared" si="3"/>
        <v>0</v>
      </c>
      <c r="I24">
        <f t="shared" si="4"/>
        <v>50</v>
      </c>
      <c r="J24">
        <v>0.02</v>
      </c>
      <c r="K24">
        <v>50</v>
      </c>
      <c r="L24" t="e">
        <v>#N/A</v>
      </c>
      <c r="M24">
        <f t="shared" si="5"/>
        <v>54.859238355990485</v>
      </c>
      <c r="N24">
        <v>0.02</v>
      </c>
      <c r="O24">
        <v>50</v>
      </c>
      <c r="P24" t="e">
        <v>#N/A</v>
      </c>
      <c r="Q24">
        <f t="shared" si="6"/>
        <v>44.194260571884499</v>
      </c>
      <c r="R24" t="e">
        <f>NA()</f>
        <v>#N/A</v>
      </c>
      <c r="S24">
        <v>0.02</v>
      </c>
      <c r="T24">
        <v>50</v>
      </c>
      <c r="U24" t="e">
        <v>#N/A</v>
      </c>
      <c r="V24">
        <f t="shared" si="7"/>
        <v>47.913875749752592</v>
      </c>
      <c r="W24" t="e">
        <f>NA()</f>
        <v>#N/A</v>
      </c>
      <c r="Z24" s="9" t="s">
        <v>11</v>
      </c>
      <c r="AA24" s="9">
        <v>0.94054743375528571</v>
      </c>
      <c r="AB24" s="7"/>
      <c r="AC24" s="7"/>
      <c r="AD24" s="7"/>
      <c r="AE24" s="7"/>
      <c r="AF24" s="7"/>
      <c r="AG24" s="7"/>
      <c r="AH24" s="7"/>
    </row>
    <row r="25" spans="1:34">
      <c r="A25" s="1">
        <v>1</v>
      </c>
      <c r="B25">
        <v>55</v>
      </c>
      <c r="C25">
        <f t="shared" si="0"/>
        <v>1.8181818181818181E-2</v>
      </c>
      <c r="D25">
        <v>57</v>
      </c>
      <c r="E25" t="e">
        <f>NA()</f>
        <v>#N/A</v>
      </c>
      <c r="F25">
        <f t="shared" si="1"/>
        <v>1.8181818181818181E-2</v>
      </c>
      <c r="G25">
        <f t="shared" si="2"/>
        <v>0</v>
      </c>
      <c r="H25">
        <f t="shared" si="3"/>
        <v>0</v>
      </c>
      <c r="I25">
        <f t="shared" si="4"/>
        <v>57</v>
      </c>
      <c r="J25">
        <v>1.8181818181818181E-2</v>
      </c>
      <c r="K25">
        <v>57</v>
      </c>
      <c r="L25" t="e">
        <v>#N/A</v>
      </c>
      <c r="M25">
        <f t="shared" si="5"/>
        <v>48.119244553136468</v>
      </c>
      <c r="N25">
        <v>1.8181818181818181E-2</v>
      </c>
      <c r="O25">
        <v>57</v>
      </c>
      <c r="P25" t="e">
        <v>#N/A</v>
      </c>
      <c r="Q25">
        <f t="shared" si="6"/>
        <v>38.244878591955398</v>
      </c>
      <c r="R25" t="e">
        <f>NA()</f>
        <v>#N/A</v>
      </c>
      <c r="S25">
        <v>1.8181818181818181E-2</v>
      </c>
      <c r="T25">
        <v>57</v>
      </c>
      <c r="U25" t="e">
        <v>#N/A</v>
      </c>
      <c r="V25">
        <f t="shared" si="7"/>
        <v>43.676104849969398</v>
      </c>
      <c r="W25" t="e">
        <f>NA()</f>
        <v>#N/A</v>
      </c>
      <c r="Z25" s="9" t="s">
        <v>12</v>
      </c>
      <c r="AA25" s="9">
        <v>0.88462947514365364</v>
      </c>
      <c r="AB25" s="7"/>
      <c r="AC25" s="7"/>
      <c r="AD25" s="7"/>
      <c r="AE25" s="7"/>
      <c r="AF25" s="7"/>
      <c r="AG25" s="7"/>
      <c r="AH25" s="7"/>
    </row>
    <row r="26" spans="1:34">
      <c r="A26" s="1">
        <v>1</v>
      </c>
      <c r="B26">
        <v>55</v>
      </c>
      <c r="C26">
        <f t="shared" si="0"/>
        <v>1.8181818181818181E-2</v>
      </c>
      <c r="D26">
        <v>45.5</v>
      </c>
      <c r="E26" t="e">
        <f>NA()</f>
        <v>#N/A</v>
      </c>
      <c r="F26">
        <f t="shared" si="1"/>
        <v>1.8181818181818181E-2</v>
      </c>
      <c r="G26">
        <f t="shared" si="2"/>
        <v>0</v>
      </c>
      <c r="H26">
        <f t="shared" si="3"/>
        <v>0</v>
      </c>
      <c r="I26">
        <f t="shared" si="4"/>
        <v>45.5</v>
      </c>
      <c r="J26">
        <v>1.8181818181818181E-2</v>
      </c>
      <c r="K26">
        <v>45.5</v>
      </c>
      <c r="L26" t="e">
        <v>#N/A</v>
      </c>
      <c r="M26">
        <f t="shared" si="5"/>
        <v>48.119244553136468</v>
      </c>
      <c r="N26">
        <v>1.8181818181818181E-2</v>
      </c>
      <c r="O26">
        <v>45.5</v>
      </c>
      <c r="P26" t="e">
        <v>#N/A</v>
      </c>
      <c r="Q26">
        <f t="shared" si="6"/>
        <v>38.244878591955398</v>
      </c>
      <c r="R26" t="e">
        <f>NA()</f>
        <v>#N/A</v>
      </c>
      <c r="S26">
        <v>1.8181818181818181E-2</v>
      </c>
      <c r="T26">
        <v>45.5</v>
      </c>
      <c r="U26" t="e">
        <v>#N/A</v>
      </c>
      <c r="V26">
        <f t="shared" si="7"/>
        <v>43.676104849969398</v>
      </c>
      <c r="W26" t="e">
        <f>NA()</f>
        <v>#N/A</v>
      </c>
      <c r="Z26" s="9" t="s">
        <v>13</v>
      </c>
      <c r="AA26" s="9">
        <v>0.88102414624189285</v>
      </c>
      <c r="AB26" s="7"/>
      <c r="AC26" s="7"/>
      <c r="AD26" s="7"/>
      <c r="AE26" s="7"/>
      <c r="AF26" s="7"/>
      <c r="AG26" s="7"/>
      <c r="AH26" s="7"/>
    </row>
    <row r="27" spans="1:34">
      <c r="A27" s="1">
        <v>1</v>
      </c>
      <c r="B27">
        <v>60</v>
      </c>
      <c r="C27">
        <f t="shared" si="0"/>
        <v>1.6666666666666666E-2</v>
      </c>
      <c r="D27">
        <v>40.6</v>
      </c>
      <c r="E27" t="e">
        <f>NA()</f>
        <v>#N/A</v>
      </c>
      <c r="F27">
        <f t="shared" si="1"/>
        <v>1.6666666666666666E-2</v>
      </c>
      <c r="G27">
        <f t="shared" si="2"/>
        <v>0</v>
      </c>
      <c r="H27">
        <f t="shared" si="3"/>
        <v>0</v>
      </c>
      <c r="I27">
        <f t="shared" si="4"/>
        <v>40.6</v>
      </c>
      <c r="J27">
        <v>1.6666666666666666E-2</v>
      </c>
      <c r="K27">
        <v>40.6</v>
      </c>
      <c r="L27" t="e">
        <v>#N/A</v>
      </c>
      <c r="M27">
        <f t="shared" si="5"/>
        <v>42.502583050758119</v>
      </c>
      <c r="N27">
        <v>1.6666666666666666E-2</v>
      </c>
      <c r="O27">
        <v>40.6</v>
      </c>
      <c r="P27" t="e">
        <v>#N/A</v>
      </c>
      <c r="Q27">
        <f t="shared" si="6"/>
        <v>33.28706027534782</v>
      </c>
      <c r="R27" t="e">
        <f>NA()</f>
        <v>#N/A</v>
      </c>
      <c r="S27">
        <v>1.6666666666666666E-2</v>
      </c>
      <c r="T27">
        <v>40.6</v>
      </c>
      <c r="U27" t="e">
        <v>#N/A</v>
      </c>
      <c r="V27">
        <f t="shared" si="7"/>
        <v>40.144629100150084</v>
      </c>
      <c r="W27" t="e">
        <f>NA()</f>
        <v>#N/A</v>
      </c>
      <c r="Z27" s="9" t="s">
        <v>14</v>
      </c>
      <c r="AA27" s="9">
        <v>23.883710779343847</v>
      </c>
      <c r="AB27" s="7"/>
      <c r="AC27" s="7"/>
      <c r="AD27" s="7"/>
      <c r="AE27" s="7"/>
      <c r="AF27" s="7"/>
      <c r="AG27" s="7"/>
      <c r="AH27" s="7"/>
    </row>
    <row r="28" spans="1:34" ht="15.75" thickBot="1">
      <c r="A28" s="1">
        <v>1</v>
      </c>
      <c r="B28">
        <v>65</v>
      </c>
      <c r="C28">
        <f t="shared" si="0"/>
        <v>1.5384615384615385E-2</v>
      </c>
      <c r="D28">
        <v>36.299999999999997</v>
      </c>
      <c r="E28" t="e">
        <f>NA()</f>
        <v>#N/A</v>
      </c>
      <c r="F28">
        <f t="shared" si="1"/>
        <v>1.5384615384615385E-2</v>
      </c>
      <c r="G28">
        <f t="shared" si="2"/>
        <v>0</v>
      </c>
      <c r="H28">
        <f t="shared" si="3"/>
        <v>0</v>
      </c>
      <c r="I28">
        <f t="shared" si="4"/>
        <v>36.299999999999997</v>
      </c>
      <c r="J28">
        <v>1.5384615384615385E-2</v>
      </c>
      <c r="K28">
        <v>36.299999999999997</v>
      </c>
      <c r="L28" t="e">
        <v>#N/A</v>
      </c>
      <c r="M28">
        <f t="shared" si="5"/>
        <v>37.750023317976449</v>
      </c>
      <c r="N28">
        <v>1.5384615384615385E-2</v>
      </c>
      <c r="O28">
        <v>36.299999999999997</v>
      </c>
      <c r="P28" t="e">
        <v>#N/A</v>
      </c>
      <c r="Q28">
        <f t="shared" si="6"/>
        <v>29.091983238218326</v>
      </c>
      <c r="R28" t="e">
        <f>NA()</f>
        <v>#N/A</v>
      </c>
      <c r="S28">
        <v>1.5384615384615385E-2</v>
      </c>
      <c r="T28">
        <v>36.299999999999997</v>
      </c>
      <c r="U28" t="e">
        <v>#N/A</v>
      </c>
      <c r="V28">
        <f t="shared" si="7"/>
        <v>37.156457311841429</v>
      </c>
      <c r="W28" t="e">
        <f>NA()</f>
        <v>#N/A</v>
      </c>
      <c r="Z28" s="10" t="s">
        <v>15</v>
      </c>
      <c r="AA28" s="10">
        <v>67</v>
      </c>
      <c r="AB28" s="7"/>
      <c r="AC28" s="7"/>
      <c r="AD28" s="7"/>
      <c r="AE28" s="7"/>
      <c r="AF28" s="7"/>
      <c r="AG28" s="7"/>
      <c r="AH28" s="7"/>
    </row>
    <row r="29" spans="1:34">
      <c r="A29" s="1">
        <v>1</v>
      </c>
      <c r="B29">
        <v>70</v>
      </c>
      <c r="C29">
        <f t="shared" si="0"/>
        <v>1.4285714285714285E-2</v>
      </c>
      <c r="D29">
        <v>33</v>
      </c>
      <c r="E29" t="e">
        <f>NA()</f>
        <v>#N/A</v>
      </c>
      <c r="F29">
        <f t="shared" si="1"/>
        <v>1.4285714285714285E-2</v>
      </c>
      <c r="G29">
        <f t="shared" si="2"/>
        <v>0</v>
      </c>
      <c r="H29">
        <f t="shared" si="3"/>
        <v>0</v>
      </c>
      <c r="I29">
        <f t="shared" si="4"/>
        <v>33</v>
      </c>
      <c r="J29">
        <v>1.4285714285714285E-2</v>
      </c>
      <c r="K29">
        <v>33</v>
      </c>
      <c r="L29" t="e">
        <v>#N/A</v>
      </c>
      <c r="M29">
        <f t="shared" si="5"/>
        <v>33.676400689877859</v>
      </c>
      <c r="N29">
        <v>1.4285714285714285E-2</v>
      </c>
      <c r="O29">
        <v>33</v>
      </c>
      <c r="P29" t="e">
        <v>#N/A</v>
      </c>
      <c r="Q29">
        <f t="shared" si="6"/>
        <v>25.496202920678755</v>
      </c>
      <c r="R29" t="e">
        <f>NA()</f>
        <v>#N/A</v>
      </c>
      <c r="S29">
        <v>1.4285714285714285E-2</v>
      </c>
      <c r="T29">
        <v>33</v>
      </c>
      <c r="U29" t="e">
        <v>#N/A</v>
      </c>
      <c r="V29">
        <f t="shared" si="7"/>
        <v>34.595167207576857</v>
      </c>
      <c r="W29" t="e">
        <f>NA()</f>
        <v>#N/A</v>
      </c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5.75" thickBot="1">
      <c r="A30" s="1">
        <v>1</v>
      </c>
      <c r="B30">
        <v>75</v>
      </c>
      <c r="C30">
        <f t="shared" si="0"/>
        <v>1.3333333333333334E-2</v>
      </c>
      <c r="D30">
        <v>30.7</v>
      </c>
      <c r="E30" t="e">
        <f>NA()</f>
        <v>#N/A</v>
      </c>
      <c r="F30">
        <f t="shared" si="1"/>
        <v>1.3333333333333334E-2</v>
      </c>
      <c r="G30">
        <f t="shared" si="2"/>
        <v>0</v>
      </c>
      <c r="H30">
        <f t="shared" si="3"/>
        <v>0</v>
      </c>
      <c r="I30">
        <f t="shared" si="4"/>
        <v>30.7</v>
      </c>
      <c r="J30">
        <v>1.3333333333333334E-2</v>
      </c>
      <c r="K30">
        <v>30.7</v>
      </c>
      <c r="L30" t="e">
        <v>#N/A</v>
      </c>
      <c r="M30">
        <f t="shared" si="5"/>
        <v>30.145927745525761</v>
      </c>
      <c r="N30">
        <v>1.3333333333333334E-2</v>
      </c>
      <c r="O30">
        <v>30.7</v>
      </c>
      <c r="P30" t="e">
        <v>#N/A</v>
      </c>
      <c r="Q30">
        <f t="shared" si="6"/>
        <v>22.379859978811133</v>
      </c>
      <c r="R30" t="e">
        <f>NA()</f>
        <v>#N/A</v>
      </c>
      <c r="S30">
        <v>1.3333333333333334E-2</v>
      </c>
      <c r="T30">
        <v>30.7</v>
      </c>
      <c r="U30" t="e">
        <v>#N/A</v>
      </c>
      <c r="V30">
        <f t="shared" si="7"/>
        <v>32.375382450547576</v>
      </c>
      <c r="W30" t="e">
        <f>NA()</f>
        <v>#N/A</v>
      </c>
      <c r="Z30" s="7" t="s">
        <v>16</v>
      </c>
      <c r="AA30" s="7"/>
      <c r="AB30" s="7"/>
      <c r="AC30" s="7"/>
      <c r="AD30" s="7"/>
      <c r="AE30" s="7"/>
      <c r="AF30" s="7"/>
      <c r="AG30" s="7"/>
      <c r="AH30" s="7"/>
    </row>
    <row r="31" spans="1:34">
      <c r="A31" s="1">
        <v>1</v>
      </c>
      <c r="B31">
        <v>75</v>
      </c>
      <c r="C31">
        <f t="shared" si="0"/>
        <v>1.3333333333333334E-2</v>
      </c>
      <c r="D31">
        <v>27</v>
      </c>
      <c r="E31" t="e">
        <f>NA()</f>
        <v>#N/A</v>
      </c>
      <c r="F31">
        <f t="shared" si="1"/>
        <v>1.3333333333333334E-2</v>
      </c>
      <c r="G31">
        <f t="shared" si="2"/>
        <v>0</v>
      </c>
      <c r="H31">
        <f t="shared" si="3"/>
        <v>0</v>
      </c>
      <c r="I31">
        <f t="shared" si="4"/>
        <v>27</v>
      </c>
      <c r="J31">
        <v>1.3333333333333334E-2</v>
      </c>
      <c r="K31">
        <v>27</v>
      </c>
      <c r="L31" t="e">
        <v>#N/A</v>
      </c>
      <c r="M31">
        <f t="shared" si="5"/>
        <v>30.145927745525761</v>
      </c>
      <c r="N31">
        <v>1.3333333333333334E-2</v>
      </c>
      <c r="O31">
        <v>27</v>
      </c>
      <c r="P31" t="e">
        <v>#N/A</v>
      </c>
      <c r="Q31">
        <f t="shared" si="6"/>
        <v>22.379859978811133</v>
      </c>
      <c r="R31" t="e">
        <f>NA()</f>
        <v>#N/A</v>
      </c>
      <c r="S31">
        <v>1.3333333333333334E-2</v>
      </c>
      <c r="T31">
        <v>27</v>
      </c>
      <c r="U31" t="e">
        <v>#N/A</v>
      </c>
      <c r="V31">
        <f t="shared" si="7"/>
        <v>32.375382450547576</v>
      </c>
      <c r="W31" t="e">
        <f>NA()</f>
        <v>#N/A</v>
      </c>
      <c r="Z31" s="11"/>
      <c r="AA31" s="11" t="s">
        <v>21</v>
      </c>
      <c r="AB31" s="11" t="s">
        <v>22</v>
      </c>
      <c r="AC31" s="11" t="s">
        <v>23</v>
      </c>
      <c r="AD31" s="11" t="s">
        <v>24</v>
      </c>
      <c r="AE31" s="11" t="s">
        <v>25</v>
      </c>
      <c r="AF31" s="7"/>
      <c r="AG31" s="7"/>
      <c r="AH31" s="7"/>
    </row>
    <row r="32" spans="1:34">
      <c r="A32" s="1">
        <v>1</v>
      </c>
      <c r="B32">
        <v>80</v>
      </c>
      <c r="C32">
        <f t="shared" si="0"/>
        <v>1.2500000000000001E-2</v>
      </c>
      <c r="D32">
        <v>29.5</v>
      </c>
      <c r="E32" t="e">
        <f>NA()</f>
        <v>#N/A</v>
      </c>
      <c r="F32">
        <f t="shared" si="1"/>
        <v>1.2500000000000001E-2</v>
      </c>
      <c r="G32">
        <f t="shared" si="2"/>
        <v>0</v>
      </c>
      <c r="H32">
        <f t="shared" si="3"/>
        <v>0</v>
      </c>
      <c r="I32">
        <f t="shared" si="4"/>
        <v>29.5</v>
      </c>
      <c r="J32">
        <v>1.2500000000000001E-2</v>
      </c>
      <c r="K32">
        <v>29.5</v>
      </c>
      <c r="L32" t="e">
        <v>#N/A</v>
      </c>
      <c r="M32">
        <f t="shared" si="5"/>
        <v>27.056763919217673</v>
      </c>
      <c r="N32">
        <v>1.2500000000000001E-2</v>
      </c>
      <c r="O32">
        <v>29.5</v>
      </c>
      <c r="P32" t="e">
        <v>#N/A</v>
      </c>
      <c r="Q32">
        <f t="shared" si="6"/>
        <v>19.653059904676965</v>
      </c>
      <c r="R32" t="e">
        <f>NA()</f>
        <v>#N/A</v>
      </c>
      <c r="S32">
        <v>1.2500000000000001E-2</v>
      </c>
      <c r="T32">
        <v>29.5</v>
      </c>
      <c r="U32" t="e">
        <v>#N/A</v>
      </c>
      <c r="V32">
        <f t="shared" si="7"/>
        <v>30.433070788146946</v>
      </c>
      <c r="W32" t="e">
        <f>NA()</f>
        <v>#N/A</v>
      </c>
      <c r="Z32" s="9" t="s">
        <v>17</v>
      </c>
      <c r="AA32" s="9">
        <v>2</v>
      </c>
      <c r="AB32" s="9">
        <v>279930.43440513895</v>
      </c>
      <c r="AC32" s="9">
        <v>139965.21720256947</v>
      </c>
      <c r="AD32" s="9">
        <v>245.36720483715229</v>
      </c>
      <c r="AE32" s="9">
        <v>9.7058994534193206E-31</v>
      </c>
      <c r="AF32" s="7"/>
      <c r="AG32" s="7"/>
      <c r="AH32" s="7"/>
    </row>
    <row r="33" spans="1:34">
      <c r="A33" s="1">
        <v>1</v>
      </c>
      <c r="B33">
        <v>80</v>
      </c>
      <c r="C33">
        <f t="shared" si="0"/>
        <v>1.2500000000000001E-2</v>
      </c>
      <c r="D33">
        <v>27.5</v>
      </c>
      <c r="E33" t="e">
        <f>NA()</f>
        <v>#N/A</v>
      </c>
      <c r="F33">
        <f t="shared" si="1"/>
        <v>1.2500000000000001E-2</v>
      </c>
      <c r="G33">
        <f t="shared" si="2"/>
        <v>0</v>
      </c>
      <c r="H33">
        <f t="shared" si="3"/>
        <v>0</v>
      </c>
      <c r="I33">
        <f t="shared" si="4"/>
        <v>27.5</v>
      </c>
      <c r="J33">
        <v>1.2500000000000001E-2</v>
      </c>
      <c r="K33">
        <v>27.5</v>
      </c>
      <c r="L33" t="e">
        <v>#N/A</v>
      </c>
      <c r="M33">
        <f t="shared" si="5"/>
        <v>27.056763919217673</v>
      </c>
      <c r="N33">
        <v>1.2500000000000001E-2</v>
      </c>
      <c r="O33">
        <v>27.5</v>
      </c>
      <c r="P33" t="e">
        <v>#N/A</v>
      </c>
      <c r="Q33">
        <f t="shared" si="6"/>
        <v>19.653059904676965</v>
      </c>
      <c r="R33" t="e">
        <f>NA()</f>
        <v>#N/A</v>
      </c>
      <c r="S33">
        <v>1.2500000000000001E-2</v>
      </c>
      <c r="T33">
        <v>27.5</v>
      </c>
      <c r="U33" t="e">
        <v>#N/A</v>
      </c>
      <c r="V33">
        <f t="shared" si="7"/>
        <v>30.433070788146946</v>
      </c>
      <c r="W33" t="e">
        <f>NA()</f>
        <v>#N/A</v>
      </c>
      <c r="Z33" s="9" t="s">
        <v>18</v>
      </c>
      <c r="AA33" s="9">
        <v>64</v>
      </c>
      <c r="AB33" s="9">
        <v>36507.624997846106</v>
      </c>
      <c r="AC33" s="9">
        <v>570.4316405913454</v>
      </c>
      <c r="AD33" s="9"/>
      <c r="AE33" s="9"/>
      <c r="AF33" s="7"/>
      <c r="AG33" s="7"/>
      <c r="AH33" s="7"/>
    </row>
    <row r="34" spans="1:34" ht="15.75" thickBot="1">
      <c r="A34" s="1">
        <v>1</v>
      </c>
      <c r="B34">
        <v>85</v>
      </c>
      <c r="C34">
        <f t="shared" si="0"/>
        <v>1.1764705882352941E-2</v>
      </c>
      <c r="D34">
        <v>28.5</v>
      </c>
      <c r="E34" t="e">
        <f>NA()</f>
        <v>#N/A</v>
      </c>
      <c r="F34">
        <f t="shared" si="1"/>
        <v>1.1764705882352941E-2</v>
      </c>
      <c r="G34">
        <f t="shared" si="2"/>
        <v>0</v>
      </c>
      <c r="H34">
        <f t="shared" si="3"/>
        <v>0</v>
      </c>
      <c r="I34">
        <f t="shared" si="4"/>
        <v>28.5</v>
      </c>
      <c r="J34">
        <v>1.1764705882352941E-2</v>
      </c>
      <c r="K34">
        <v>28.5</v>
      </c>
      <c r="L34" t="e">
        <v>#N/A</v>
      </c>
      <c r="M34">
        <f t="shared" si="5"/>
        <v>24.331031131298765</v>
      </c>
      <c r="N34">
        <v>1.1764705882352941E-2</v>
      </c>
      <c r="O34">
        <v>28.5</v>
      </c>
      <c r="P34" t="e">
        <v>#N/A</v>
      </c>
      <c r="Q34">
        <f t="shared" si="6"/>
        <v>17.247059839264459</v>
      </c>
      <c r="R34" t="e">
        <f>NA()</f>
        <v>#N/A</v>
      </c>
      <c r="S34">
        <v>1.1764705882352941E-2</v>
      </c>
      <c r="T34">
        <v>28.5</v>
      </c>
      <c r="U34" t="e">
        <v>#N/A</v>
      </c>
      <c r="V34">
        <f t="shared" si="7"/>
        <v>28.71926638014639</v>
      </c>
      <c r="W34" t="e">
        <f>NA()</f>
        <v>#N/A</v>
      </c>
      <c r="Z34" s="10" t="s">
        <v>19</v>
      </c>
      <c r="AA34" s="10">
        <v>66</v>
      </c>
      <c r="AB34" s="10">
        <v>316438.05940298503</v>
      </c>
      <c r="AC34" s="10"/>
      <c r="AD34" s="10"/>
      <c r="AE34" s="10"/>
      <c r="AF34" s="7"/>
      <c r="AG34" s="7"/>
      <c r="AH34" s="7"/>
    </row>
    <row r="35" spans="1:34" ht="15.75" thickBot="1">
      <c r="A35" s="1">
        <v>1</v>
      </c>
      <c r="B35">
        <v>85</v>
      </c>
      <c r="C35">
        <f t="shared" si="0"/>
        <v>1.1764705882352941E-2</v>
      </c>
      <c r="D35">
        <v>26.5</v>
      </c>
      <c r="E35" t="e">
        <f>NA()</f>
        <v>#N/A</v>
      </c>
      <c r="F35">
        <f t="shared" si="1"/>
        <v>1.1764705882352941E-2</v>
      </c>
      <c r="G35">
        <f t="shared" si="2"/>
        <v>0</v>
      </c>
      <c r="H35">
        <f t="shared" si="3"/>
        <v>0</v>
      </c>
      <c r="I35">
        <f t="shared" si="4"/>
        <v>26.5</v>
      </c>
      <c r="J35">
        <v>1.1764705882352941E-2</v>
      </c>
      <c r="K35">
        <v>26.5</v>
      </c>
      <c r="L35" t="e">
        <v>#N/A</v>
      </c>
      <c r="M35">
        <f t="shared" si="5"/>
        <v>24.331031131298765</v>
      </c>
      <c r="N35">
        <v>1.1764705882352941E-2</v>
      </c>
      <c r="O35">
        <v>26.5</v>
      </c>
      <c r="P35" t="e">
        <v>#N/A</v>
      </c>
      <c r="Q35">
        <f t="shared" si="6"/>
        <v>17.247059839264459</v>
      </c>
      <c r="R35" t="e">
        <f>NA()</f>
        <v>#N/A</v>
      </c>
      <c r="S35">
        <v>1.1764705882352941E-2</v>
      </c>
      <c r="T35">
        <v>26.5</v>
      </c>
      <c r="U35" t="e">
        <v>#N/A</v>
      </c>
      <c r="V35">
        <f t="shared" si="7"/>
        <v>28.71926638014639</v>
      </c>
      <c r="W35" t="e">
        <f>NA()</f>
        <v>#N/A</v>
      </c>
      <c r="Z35" s="7"/>
      <c r="AA35" s="7"/>
      <c r="AB35" s="7"/>
      <c r="AC35" s="7"/>
      <c r="AD35" s="7"/>
      <c r="AE35" s="7"/>
      <c r="AF35" s="7"/>
      <c r="AG35" s="7"/>
      <c r="AH35" s="7"/>
    </row>
    <row r="36" spans="1:34">
      <c r="A36" s="1">
        <v>1</v>
      </c>
      <c r="B36">
        <v>87</v>
      </c>
      <c r="C36">
        <f t="shared" si="0"/>
        <v>1.1494252873563218E-2</v>
      </c>
      <c r="D36">
        <v>26</v>
      </c>
      <c r="E36" t="e">
        <f>NA()</f>
        <v>#N/A</v>
      </c>
      <c r="F36">
        <f t="shared" si="1"/>
        <v>1.1494252873563218E-2</v>
      </c>
      <c r="G36">
        <f t="shared" si="2"/>
        <v>0</v>
      </c>
      <c r="H36">
        <f t="shared" si="3"/>
        <v>0</v>
      </c>
      <c r="I36">
        <f t="shared" si="4"/>
        <v>26</v>
      </c>
      <c r="J36">
        <v>1.1494252873563218E-2</v>
      </c>
      <c r="K36">
        <v>26</v>
      </c>
      <c r="L36" t="e">
        <v>#N/A</v>
      </c>
      <c r="M36">
        <f t="shared" si="5"/>
        <v>23.32846274953549</v>
      </c>
      <c r="N36">
        <v>1.1494252873563218E-2</v>
      </c>
      <c r="O36">
        <v>26</v>
      </c>
      <c r="P36" t="e">
        <v>#N/A</v>
      </c>
      <c r="Q36">
        <f t="shared" si="6"/>
        <v>16.36209429796331</v>
      </c>
      <c r="R36" t="e">
        <f>NA()</f>
        <v>#N/A</v>
      </c>
      <c r="S36">
        <v>1.1494252873563218E-2</v>
      </c>
      <c r="T36">
        <v>26</v>
      </c>
      <c r="U36" t="e">
        <v>#N/A</v>
      </c>
      <c r="V36">
        <f t="shared" si="7"/>
        <v>28.088901540422047</v>
      </c>
      <c r="W36" t="e">
        <f>NA()</f>
        <v>#N/A</v>
      </c>
      <c r="Z36" s="11"/>
      <c r="AA36" s="11" t="s">
        <v>26</v>
      </c>
      <c r="AB36" s="11" t="s">
        <v>14</v>
      </c>
      <c r="AC36" s="11" t="s">
        <v>27</v>
      </c>
      <c r="AD36" s="11" t="s">
        <v>28</v>
      </c>
      <c r="AE36" s="11" t="s">
        <v>29</v>
      </c>
      <c r="AF36" s="11" t="s">
        <v>30</v>
      </c>
      <c r="AG36" s="11" t="s">
        <v>31</v>
      </c>
      <c r="AH36" s="11" t="s">
        <v>32</v>
      </c>
    </row>
    <row r="37" spans="1:34">
      <c r="A37" s="1">
        <v>1</v>
      </c>
      <c r="B37">
        <v>90</v>
      </c>
      <c r="C37">
        <f t="shared" si="0"/>
        <v>1.1111111111111112E-2</v>
      </c>
      <c r="D37">
        <v>27.3</v>
      </c>
      <c r="E37" t="e">
        <f>NA()</f>
        <v>#N/A</v>
      </c>
      <c r="F37">
        <f t="shared" si="1"/>
        <v>1.1111111111111112E-2</v>
      </c>
      <c r="G37">
        <f t="shared" si="2"/>
        <v>0</v>
      </c>
      <c r="H37">
        <f t="shared" si="3"/>
        <v>0</v>
      </c>
      <c r="I37">
        <f t="shared" si="4"/>
        <v>27.3</v>
      </c>
      <c r="J37">
        <v>1.1111111111111112E-2</v>
      </c>
      <c r="K37">
        <v>27.3</v>
      </c>
      <c r="L37" t="e">
        <v>#N/A</v>
      </c>
      <c r="M37">
        <f t="shared" si="5"/>
        <v>21.908157542037522</v>
      </c>
      <c r="N37">
        <v>1.1111111111111112E-2</v>
      </c>
      <c r="O37">
        <v>27.3</v>
      </c>
      <c r="P37" t="e">
        <v>#N/A</v>
      </c>
      <c r="Q37">
        <f t="shared" si="6"/>
        <v>15.108393114453342</v>
      </c>
      <c r="R37" t="e">
        <f>NA()</f>
        <v>#N/A</v>
      </c>
      <c r="S37">
        <v>1.1111111111111112E-2</v>
      </c>
      <c r="T37">
        <v>27.3</v>
      </c>
      <c r="U37" t="e">
        <v>#N/A</v>
      </c>
      <c r="V37">
        <f t="shared" si="7"/>
        <v>27.195884684145899</v>
      </c>
      <c r="W37" t="e">
        <f>NA()</f>
        <v>#N/A</v>
      </c>
      <c r="Z37" s="9" t="s">
        <v>20</v>
      </c>
      <c r="AA37" s="9">
        <v>-21.248941207335605</v>
      </c>
      <c r="AB37" s="9">
        <v>5.7919705102164576</v>
      </c>
      <c r="AC37" s="9">
        <v>-3.6686894675749118</v>
      </c>
      <c r="AD37" s="9">
        <v>4.9827893177845041E-4</v>
      </c>
      <c r="AE37" s="9">
        <v>-32.819732452528612</v>
      </c>
      <c r="AF37" s="9">
        <v>-9.6781499621425944</v>
      </c>
      <c r="AG37" s="9">
        <v>-32.819732452528612</v>
      </c>
      <c r="AH37" s="9">
        <v>-9.6781499621425944</v>
      </c>
    </row>
    <row r="38" spans="1:34">
      <c r="A38" s="1">
        <v>1</v>
      </c>
      <c r="B38">
        <v>90</v>
      </c>
      <c r="C38">
        <f t="shared" si="0"/>
        <v>1.1111111111111112E-2</v>
      </c>
      <c r="D38">
        <v>25</v>
      </c>
      <c r="E38" t="e">
        <f>NA()</f>
        <v>#N/A</v>
      </c>
      <c r="F38">
        <f t="shared" si="1"/>
        <v>1.1111111111111112E-2</v>
      </c>
      <c r="G38">
        <f t="shared" si="2"/>
        <v>0</v>
      </c>
      <c r="H38">
        <f t="shared" si="3"/>
        <v>0</v>
      </c>
      <c r="I38">
        <f t="shared" si="4"/>
        <v>25</v>
      </c>
      <c r="J38">
        <v>1.1111111111111112E-2</v>
      </c>
      <c r="K38">
        <v>25</v>
      </c>
      <c r="L38" t="e">
        <v>#N/A</v>
      </c>
      <c r="M38">
        <f t="shared" si="5"/>
        <v>21.908157542037522</v>
      </c>
      <c r="N38">
        <v>1.1111111111111112E-2</v>
      </c>
      <c r="O38">
        <v>25</v>
      </c>
      <c r="P38" t="e">
        <v>#N/A</v>
      </c>
      <c r="Q38">
        <f t="shared" si="6"/>
        <v>15.108393114453342</v>
      </c>
      <c r="R38" t="e">
        <f>NA()</f>
        <v>#N/A</v>
      </c>
      <c r="S38">
        <v>1.1111111111111112E-2</v>
      </c>
      <c r="T38">
        <v>25</v>
      </c>
      <c r="U38" t="e">
        <v>#N/A</v>
      </c>
      <c r="V38">
        <f t="shared" si="7"/>
        <v>27.195884684145899</v>
      </c>
      <c r="W38" t="e">
        <f>NA()</f>
        <v>#N/A</v>
      </c>
      <c r="Z38" s="9" t="s">
        <v>5</v>
      </c>
      <c r="AA38" s="9">
        <v>3272.1600889610054</v>
      </c>
      <c r="AB38" s="9">
        <v>188.0260214441119</v>
      </c>
      <c r="AC38" s="9">
        <v>17.402698115024517</v>
      </c>
      <c r="AD38" s="9">
        <v>5.9072085971690533E-26</v>
      </c>
      <c r="AE38" s="9">
        <v>2896.5349301387282</v>
      </c>
      <c r="AF38" s="9">
        <v>3647.7852477832826</v>
      </c>
      <c r="AG38" s="9">
        <v>2896.5349301387282</v>
      </c>
      <c r="AH38" s="9">
        <v>3647.7852477832826</v>
      </c>
    </row>
    <row r="39" spans="1:34" ht="15.75" thickBot="1">
      <c r="A39" s="1">
        <v>1</v>
      </c>
      <c r="B39">
        <v>100</v>
      </c>
      <c r="C39">
        <f t="shared" si="0"/>
        <v>0.01</v>
      </c>
      <c r="D39">
        <v>23.3</v>
      </c>
      <c r="E39" t="e">
        <f>NA()</f>
        <v>#N/A</v>
      </c>
      <c r="F39">
        <f t="shared" si="1"/>
        <v>0.01</v>
      </c>
      <c r="G39">
        <f t="shared" si="2"/>
        <v>0</v>
      </c>
      <c r="H39">
        <f t="shared" si="3"/>
        <v>0</v>
      </c>
      <c r="I39">
        <f t="shared" si="4"/>
        <v>23.3</v>
      </c>
      <c r="J39">
        <v>0.01</v>
      </c>
      <c r="K39">
        <v>23.3</v>
      </c>
      <c r="L39" t="e">
        <v>#N/A</v>
      </c>
      <c r="M39">
        <f t="shared" si="5"/>
        <v>17.789272440293402</v>
      </c>
      <c r="N39">
        <v>0.01</v>
      </c>
      <c r="O39">
        <v>23.3</v>
      </c>
      <c r="P39" t="e">
        <v>#N/A</v>
      </c>
      <c r="Q39">
        <f t="shared" si="6"/>
        <v>11.472659682274447</v>
      </c>
      <c r="R39" t="e">
        <f>NA()</f>
        <v>#N/A</v>
      </c>
      <c r="S39">
        <v>0.01</v>
      </c>
      <c r="T39">
        <v>23.3</v>
      </c>
      <c r="U39" t="e">
        <v>#N/A</v>
      </c>
      <c r="V39">
        <f t="shared" si="7"/>
        <v>24.606135800945061</v>
      </c>
      <c r="W39" t="e">
        <f>NA()</f>
        <v>#N/A</v>
      </c>
      <c r="Z39" s="10" t="s">
        <v>6</v>
      </c>
      <c r="AA39" s="10">
        <v>40.299075098600788</v>
      </c>
      <c r="AB39" s="10">
        <v>6.5705280587096517</v>
      </c>
      <c r="AC39" s="10">
        <v>6.1333084249114203</v>
      </c>
      <c r="AD39" s="10">
        <v>5.9860910003793199E-8</v>
      </c>
      <c r="AE39" s="10">
        <v>27.172936351190039</v>
      </c>
      <c r="AF39" s="10">
        <v>53.425213846011538</v>
      </c>
      <c r="AG39" s="10">
        <v>27.172936351190039</v>
      </c>
      <c r="AH39" s="10">
        <v>53.425213846011538</v>
      </c>
    </row>
    <row r="40" spans="1:34">
      <c r="A40" s="1">
        <v>1</v>
      </c>
      <c r="B40">
        <v>100</v>
      </c>
      <c r="C40">
        <f t="shared" si="0"/>
        <v>0.01</v>
      </c>
      <c r="D40">
        <v>20</v>
      </c>
      <c r="E40" t="e">
        <f>NA()</f>
        <v>#N/A</v>
      </c>
      <c r="F40">
        <f t="shared" si="1"/>
        <v>0.01</v>
      </c>
      <c r="G40">
        <f t="shared" si="2"/>
        <v>0</v>
      </c>
      <c r="H40">
        <f t="shared" si="3"/>
        <v>0</v>
      </c>
      <c r="I40">
        <f t="shared" si="4"/>
        <v>20</v>
      </c>
      <c r="J40">
        <v>0.01</v>
      </c>
      <c r="K40">
        <v>20</v>
      </c>
      <c r="L40" t="e">
        <v>#N/A</v>
      </c>
      <c r="M40">
        <f t="shared" si="5"/>
        <v>17.789272440293402</v>
      </c>
      <c r="N40">
        <v>0.01</v>
      </c>
      <c r="O40">
        <v>20</v>
      </c>
      <c r="P40" t="e">
        <v>#N/A</v>
      </c>
      <c r="Q40">
        <f t="shared" si="6"/>
        <v>11.472659682274447</v>
      </c>
      <c r="R40" t="e">
        <f>NA()</f>
        <v>#N/A</v>
      </c>
      <c r="S40">
        <v>0.01</v>
      </c>
      <c r="T40">
        <v>20</v>
      </c>
      <c r="U40" t="e">
        <v>#N/A</v>
      </c>
      <c r="V40">
        <f t="shared" si="7"/>
        <v>24.606135800945061</v>
      </c>
      <c r="W40" t="e">
        <f>NA()</f>
        <v>#N/A</v>
      </c>
    </row>
    <row r="41" spans="1:34">
      <c r="A41" s="1">
        <v>1</v>
      </c>
      <c r="B41">
        <v>110</v>
      </c>
      <c r="C41">
        <f t="shared" si="0"/>
        <v>9.0909090909090905E-3</v>
      </c>
      <c r="D41">
        <v>15</v>
      </c>
      <c r="E41" t="e">
        <f>NA()</f>
        <v>#N/A</v>
      </c>
      <c r="F41">
        <f t="shared" si="1"/>
        <v>9.0909090909090905E-3</v>
      </c>
      <c r="G41">
        <f t="shared" si="2"/>
        <v>0</v>
      </c>
      <c r="H41">
        <f t="shared" si="3"/>
        <v>0</v>
      </c>
      <c r="I41">
        <f t="shared" si="4"/>
        <v>15</v>
      </c>
      <c r="J41">
        <v>9.0909090909090905E-3</v>
      </c>
      <c r="K41">
        <v>15</v>
      </c>
      <c r="L41" t="e">
        <v>#N/A</v>
      </c>
      <c r="M41">
        <f t="shared" si="5"/>
        <v>14.419275538866394</v>
      </c>
      <c r="N41">
        <v>9.0909090909090905E-3</v>
      </c>
      <c r="O41">
        <v>15</v>
      </c>
      <c r="P41" t="e">
        <v>#N/A</v>
      </c>
      <c r="Q41">
        <f t="shared" si="6"/>
        <v>8.4979686923098967</v>
      </c>
      <c r="R41" t="e">
        <f>NA()</f>
        <v>#N/A</v>
      </c>
      <c r="S41">
        <v>9.0909090909090905E-3</v>
      </c>
      <c r="T41">
        <v>15</v>
      </c>
      <c r="U41" t="e">
        <v>#N/A</v>
      </c>
      <c r="V41">
        <f t="shared" si="7"/>
        <v>22.487250351053465</v>
      </c>
      <c r="W41" t="e">
        <f>NA()</f>
        <v>#N/A</v>
      </c>
      <c r="Z41" s="12" t="s">
        <v>9</v>
      </c>
      <c r="AA41" s="12"/>
      <c r="AB41" s="12"/>
      <c r="AC41" s="12"/>
      <c r="AD41" s="12"/>
      <c r="AE41" s="12"/>
      <c r="AF41" s="12"/>
      <c r="AG41" s="12"/>
      <c r="AH41" s="12"/>
    </row>
    <row r="42" spans="1:34" ht="15.75" thickBot="1">
      <c r="A42" s="1">
        <v>1</v>
      </c>
      <c r="B42">
        <v>125</v>
      </c>
      <c r="C42">
        <f t="shared" si="0"/>
        <v>8.0000000000000002E-3</v>
      </c>
      <c r="D42">
        <v>10</v>
      </c>
      <c r="E42" t="e">
        <f>NA()</f>
        <v>#N/A</v>
      </c>
      <c r="F42">
        <f t="shared" si="1"/>
        <v>8.0000000000000002E-3</v>
      </c>
      <c r="G42">
        <f t="shared" si="2"/>
        <v>0</v>
      </c>
      <c r="H42">
        <f t="shared" si="3"/>
        <v>0</v>
      </c>
      <c r="I42">
        <f t="shared" si="4"/>
        <v>10</v>
      </c>
      <c r="J42">
        <v>8.0000000000000002E-3</v>
      </c>
      <c r="K42">
        <v>10</v>
      </c>
      <c r="L42" t="e">
        <v>#N/A</v>
      </c>
      <c r="M42">
        <f t="shared" si="5"/>
        <v>10.375279257153984</v>
      </c>
      <c r="N42">
        <v>8.0000000000000002E-3</v>
      </c>
      <c r="O42">
        <v>10</v>
      </c>
      <c r="P42" t="e">
        <v>#N/A</v>
      </c>
      <c r="Q42">
        <f t="shared" si="6"/>
        <v>4.9283395043524401</v>
      </c>
      <c r="R42" t="e">
        <f>NA()</f>
        <v>#N/A</v>
      </c>
      <c r="S42">
        <v>8.0000000000000002E-3</v>
      </c>
      <c r="T42">
        <v>10</v>
      </c>
      <c r="U42" t="e">
        <v>#N/A</v>
      </c>
      <c r="V42">
        <f t="shared" si="7"/>
        <v>19.944587811183556</v>
      </c>
      <c r="W42" t="e">
        <f>NA()</f>
        <v>#N/A</v>
      </c>
      <c r="Z42" s="12"/>
      <c r="AA42" s="12"/>
      <c r="AB42" s="12"/>
      <c r="AC42" s="12"/>
      <c r="AD42" s="12"/>
      <c r="AE42" s="12"/>
      <c r="AF42" s="12"/>
      <c r="AG42" s="12"/>
      <c r="AH42" s="12"/>
    </row>
    <row r="43" spans="1:34">
      <c r="A43" s="1">
        <v>1</v>
      </c>
      <c r="B43">
        <v>130</v>
      </c>
      <c r="C43">
        <f t="shared" si="0"/>
        <v>7.6923076923076927E-3</v>
      </c>
      <c r="D43">
        <v>15.7</v>
      </c>
      <c r="E43" t="e">
        <f>NA()</f>
        <v>#N/A</v>
      </c>
      <c r="F43">
        <f t="shared" si="1"/>
        <v>7.6923076923076927E-3</v>
      </c>
      <c r="G43">
        <f t="shared" si="2"/>
        <v>0</v>
      </c>
      <c r="H43">
        <f t="shared" si="3"/>
        <v>0</v>
      </c>
      <c r="I43">
        <f t="shared" si="4"/>
        <v>15.7</v>
      </c>
      <c r="J43">
        <v>7.6923076923076927E-3</v>
      </c>
      <c r="K43">
        <v>15.7</v>
      </c>
      <c r="L43" t="e">
        <v>#N/A</v>
      </c>
      <c r="M43">
        <f t="shared" si="5"/>
        <v>9.2346649212863845</v>
      </c>
      <c r="N43">
        <v>7.6923076923076927E-3</v>
      </c>
      <c r="O43">
        <v>15.7</v>
      </c>
      <c r="P43" t="e">
        <v>#N/A</v>
      </c>
      <c r="Q43">
        <f t="shared" si="6"/>
        <v>3.9215210154413604</v>
      </c>
      <c r="R43" t="e">
        <f>NA()</f>
        <v>#N/A</v>
      </c>
      <c r="S43">
        <v>7.6923076923076927E-3</v>
      </c>
      <c r="T43">
        <v>15.7</v>
      </c>
      <c r="U43" t="e">
        <v>#N/A</v>
      </c>
      <c r="V43">
        <f t="shared" si="7"/>
        <v>19.22742658198948</v>
      </c>
      <c r="W43" t="e">
        <f>NA()</f>
        <v>#N/A</v>
      </c>
      <c r="Z43" s="13" t="s">
        <v>10</v>
      </c>
      <c r="AA43" s="13"/>
      <c r="AB43" s="12"/>
      <c r="AC43" s="12"/>
      <c r="AD43" s="12"/>
      <c r="AE43" s="12"/>
      <c r="AF43" s="12"/>
      <c r="AG43" s="12"/>
      <c r="AH43" s="12"/>
    </row>
    <row r="44" spans="1:34">
      <c r="A44" s="1">
        <v>1</v>
      </c>
      <c r="B44">
        <v>160</v>
      </c>
      <c r="C44">
        <f t="shared" si="0"/>
        <v>6.2500000000000003E-3</v>
      </c>
      <c r="D44">
        <v>10</v>
      </c>
      <c r="E44" t="e">
        <f>NA()</f>
        <v>#N/A</v>
      </c>
      <c r="F44">
        <f t="shared" si="1"/>
        <v>6.2500000000000003E-3</v>
      </c>
      <c r="G44">
        <f t="shared" si="2"/>
        <v>0</v>
      </c>
      <c r="H44">
        <f t="shared" si="3"/>
        <v>0</v>
      </c>
      <c r="I44">
        <f t="shared" si="4"/>
        <v>10</v>
      </c>
      <c r="J44">
        <v>6.2500000000000003E-3</v>
      </c>
      <c r="K44">
        <v>10</v>
      </c>
      <c r="L44" t="e">
        <v>#N/A</v>
      </c>
      <c r="M44">
        <f t="shared" si="5"/>
        <v>3.8880352219069962</v>
      </c>
      <c r="N44">
        <v>6.2500000000000003E-3</v>
      </c>
      <c r="O44">
        <v>10</v>
      </c>
      <c r="P44" t="e">
        <v>#N/A</v>
      </c>
      <c r="Q44">
        <f t="shared" si="6"/>
        <v>-0.79794065132931991</v>
      </c>
      <c r="R44" t="e">
        <f>NA()</f>
        <v>#N/A</v>
      </c>
      <c r="S44">
        <v>6.2500000000000003E-3</v>
      </c>
      <c r="T44">
        <v>10</v>
      </c>
      <c r="U44" t="e">
        <v>#N/A</v>
      </c>
      <c r="V44">
        <f t="shared" si="7"/>
        <v>15.865733320142239</v>
      </c>
      <c r="W44" t="e">
        <f>NA()</f>
        <v>#N/A</v>
      </c>
      <c r="Z44" s="14" t="s">
        <v>11</v>
      </c>
      <c r="AA44" s="14">
        <v>0.98025911385771758</v>
      </c>
      <c r="AB44" s="12"/>
      <c r="AC44" s="12"/>
      <c r="AD44" s="12"/>
      <c r="AE44" s="12"/>
      <c r="AF44" s="12"/>
      <c r="AG44" s="12"/>
      <c r="AH44" s="12"/>
    </row>
    <row r="45" spans="1:34">
      <c r="A45" s="1">
        <v>2</v>
      </c>
      <c r="B45">
        <v>13</v>
      </c>
      <c r="C45">
        <f t="shared" si="0"/>
        <v>7.6923076923076927E-2</v>
      </c>
      <c r="D45" t="e">
        <f>NA()</f>
        <v>#N/A</v>
      </c>
      <c r="E45">
        <v>320.39999999999998</v>
      </c>
      <c r="F45">
        <f t="shared" si="1"/>
        <v>7.6923076923076927E-2</v>
      </c>
      <c r="G45">
        <f t="shared" si="2"/>
        <v>1</v>
      </c>
      <c r="H45">
        <f t="shared" si="3"/>
        <v>7.6923076923076927E-2</v>
      </c>
      <c r="I45">
        <f t="shared" si="4"/>
        <v>320.39999999999998</v>
      </c>
      <c r="J45">
        <v>7.6923076923076927E-2</v>
      </c>
      <c r="K45" t="e">
        <v>#N/A</v>
      </c>
      <c r="L45">
        <v>320.39999999999998</v>
      </c>
      <c r="M45">
        <f t="shared" si="5"/>
        <v>265.87289049149695</v>
      </c>
      <c r="N45">
        <v>7.6923076923076927E-2</v>
      </c>
      <c r="O45" t="e">
        <v>#N/A</v>
      </c>
      <c r="P45">
        <v>320.39999999999998</v>
      </c>
      <c r="Q45" t="e">
        <f>NA()</f>
        <v>#N/A</v>
      </c>
      <c r="R45">
        <f>$AA$37+$AA$38*$F45+$AA$39*$G45</f>
        <v>270.75475611903482</v>
      </c>
      <c r="S45">
        <v>7.6923076923076927E-2</v>
      </c>
      <c r="T45" t="e">
        <v>#N/A</v>
      </c>
      <c r="U45">
        <v>320.39999999999998</v>
      </c>
      <c r="V45" t="e">
        <f>NA()</f>
        <v>#N/A</v>
      </c>
      <c r="W45">
        <f>$AA$57+$AA$58*$F45+$AA$59*$G45+$AA$60*$H45</f>
        <v>333.99435777617725</v>
      </c>
      <c r="Z45" s="14" t="s">
        <v>12</v>
      </c>
      <c r="AA45" s="14">
        <v>0.96090793030111776</v>
      </c>
      <c r="AB45" s="12"/>
      <c r="AC45" s="12"/>
      <c r="AD45" s="12"/>
      <c r="AE45" s="12"/>
      <c r="AF45" s="12"/>
      <c r="AG45" s="12"/>
      <c r="AH45" s="12"/>
    </row>
    <row r="46" spans="1:34">
      <c r="A46" s="1">
        <v>2</v>
      </c>
      <c r="B46">
        <v>16</v>
      </c>
      <c r="C46">
        <f t="shared" si="0"/>
        <v>6.25E-2</v>
      </c>
      <c r="D46" t="e">
        <f>NA()</f>
        <v>#N/A</v>
      </c>
      <c r="E46">
        <v>257</v>
      </c>
      <c r="F46">
        <f t="shared" si="1"/>
        <v>6.25E-2</v>
      </c>
      <c r="G46">
        <f t="shared" si="2"/>
        <v>1</v>
      </c>
      <c r="H46">
        <f t="shared" si="3"/>
        <v>6.25E-2</v>
      </c>
      <c r="I46">
        <f t="shared" si="4"/>
        <v>257</v>
      </c>
      <c r="J46">
        <v>6.25E-2</v>
      </c>
      <c r="K46" t="e">
        <v>#N/A</v>
      </c>
      <c r="L46">
        <v>257</v>
      </c>
      <c r="M46">
        <f t="shared" si="5"/>
        <v>212.40659349770306</v>
      </c>
      <c r="N46">
        <v>6.25E-2</v>
      </c>
      <c r="O46" t="e">
        <v>#N/A</v>
      </c>
      <c r="P46">
        <v>257</v>
      </c>
      <c r="Q46" t="e">
        <f>NA()</f>
        <v>#N/A</v>
      </c>
      <c r="R46">
        <f t="shared" ref="R46:R68" si="8">$AA$37+$AA$38*$F46+$AA$39*$G46</f>
        <v>223.56013945132801</v>
      </c>
      <c r="S46">
        <v>6.25E-2</v>
      </c>
      <c r="T46" t="e">
        <v>#N/A</v>
      </c>
      <c r="U46">
        <v>257</v>
      </c>
      <c r="V46" t="e">
        <f>NA()</f>
        <v>#N/A</v>
      </c>
      <c r="W46">
        <f t="shared" ref="W46:W68" si="9">$AA$57+$AA$58*$F46+$AA$59*$G46+$AA$60*$H46</f>
        <v>263.87982367679729</v>
      </c>
      <c r="Z46" s="14" t="s">
        <v>13</v>
      </c>
      <c r="AA46" s="14">
        <v>0.95904640317259959</v>
      </c>
      <c r="AB46" s="12"/>
      <c r="AC46" s="12"/>
      <c r="AD46" s="12"/>
      <c r="AE46" s="12"/>
      <c r="AF46" s="12"/>
      <c r="AG46" s="12"/>
      <c r="AH46" s="12"/>
    </row>
    <row r="47" spans="1:34">
      <c r="A47" s="1">
        <v>2</v>
      </c>
      <c r="B47">
        <v>16</v>
      </c>
      <c r="C47">
        <f t="shared" si="0"/>
        <v>6.25E-2</v>
      </c>
      <c r="D47" t="e">
        <f>NA()</f>
        <v>#N/A</v>
      </c>
      <c r="E47">
        <v>323.8</v>
      </c>
      <c r="F47">
        <f t="shared" si="1"/>
        <v>6.25E-2</v>
      </c>
      <c r="G47">
        <f t="shared" si="2"/>
        <v>1</v>
      </c>
      <c r="H47">
        <f t="shared" si="3"/>
        <v>6.25E-2</v>
      </c>
      <c r="I47">
        <f t="shared" si="4"/>
        <v>323.8</v>
      </c>
      <c r="J47">
        <v>6.25E-2</v>
      </c>
      <c r="K47" t="e">
        <v>#N/A</v>
      </c>
      <c r="L47">
        <v>323.8</v>
      </c>
      <c r="M47">
        <f t="shared" si="5"/>
        <v>212.40659349770306</v>
      </c>
      <c r="N47">
        <v>6.25E-2</v>
      </c>
      <c r="O47" t="e">
        <v>#N/A</v>
      </c>
      <c r="P47">
        <v>323.8</v>
      </c>
      <c r="Q47" t="e">
        <f>NA()</f>
        <v>#N/A</v>
      </c>
      <c r="R47">
        <f t="shared" si="8"/>
        <v>223.56013945132801</v>
      </c>
      <c r="S47">
        <v>6.25E-2</v>
      </c>
      <c r="T47" t="e">
        <v>#N/A</v>
      </c>
      <c r="U47">
        <v>323.8</v>
      </c>
      <c r="V47" t="e">
        <f>NA()</f>
        <v>#N/A</v>
      </c>
      <c r="W47">
        <f t="shared" si="9"/>
        <v>263.87982367679729</v>
      </c>
      <c r="Z47" s="14" t="s">
        <v>14</v>
      </c>
      <c r="AA47" s="14">
        <v>14.012589958965597</v>
      </c>
      <c r="AB47" s="12"/>
      <c r="AC47" s="12"/>
      <c r="AD47" s="12"/>
      <c r="AE47" s="12"/>
      <c r="AF47" s="12"/>
      <c r="AG47" s="12"/>
      <c r="AH47" s="12"/>
    </row>
    <row r="48" spans="1:34" ht="15.75" thickBot="1">
      <c r="A48" s="1">
        <v>2</v>
      </c>
      <c r="B48">
        <v>18</v>
      </c>
      <c r="C48">
        <f t="shared" si="0"/>
        <v>5.5555555555555552E-2</v>
      </c>
      <c r="D48" t="e">
        <f>NA()</f>
        <v>#N/A</v>
      </c>
      <c r="E48">
        <v>181.7</v>
      </c>
      <c r="F48">
        <f t="shared" si="1"/>
        <v>5.5555555555555552E-2</v>
      </c>
      <c r="G48">
        <f t="shared" si="2"/>
        <v>1</v>
      </c>
      <c r="H48">
        <f t="shared" si="3"/>
        <v>5.5555555555555552E-2</v>
      </c>
      <c r="I48">
        <f t="shared" si="4"/>
        <v>181.7</v>
      </c>
      <c r="J48">
        <v>5.5555555555555552E-2</v>
      </c>
      <c r="K48" t="e">
        <v>#N/A</v>
      </c>
      <c r="L48">
        <v>181.7</v>
      </c>
      <c r="M48">
        <f t="shared" si="5"/>
        <v>186.66356161180232</v>
      </c>
      <c r="N48">
        <v>5.5555555555555552E-2</v>
      </c>
      <c r="O48" t="e">
        <v>#N/A</v>
      </c>
      <c r="P48">
        <v>181.7</v>
      </c>
      <c r="Q48" t="e">
        <f>NA()</f>
        <v>#N/A</v>
      </c>
      <c r="R48">
        <f t="shared" si="8"/>
        <v>200.83680550020992</v>
      </c>
      <c r="S48">
        <v>5.5555555555555552E-2</v>
      </c>
      <c r="T48" t="e">
        <v>#N/A</v>
      </c>
      <c r="U48">
        <v>181.7</v>
      </c>
      <c r="V48" t="e">
        <f>NA()</f>
        <v>#N/A</v>
      </c>
      <c r="W48">
        <f t="shared" si="9"/>
        <v>230.12097392524393</v>
      </c>
      <c r="Z48" s="15" t="s">
        <v>15</v>
      </c>
      <c r="AA48" s="15">
        <v>67</v>
      </c>
      <c r="AB48" s="12"/>
      <c r="AC48" s="12"/>
      <c r="AD48" s="12"/>
      <c r="AE48" s="12"/>
      <c r="AF48" s="12"/>
      <c r="AG48" s="12"/>
      <c r="AH48" s="12"/>
    </row>
    <row r="49" spans="1:34">
      <c r="A49" s="1">
        <v>2</v>
      </c>
      <c r="B49">
        <v>19</v>
      </c>
      <c r="C49">
        <f t="shared" si="0"/>
        <v>5.2631578947368418E-2</v>
      </c>
      <c r="D49" t="e">
        <f>NA()</f>
        <v>#N/A</v>
      </c>
      <c r="E49">
        <v>238</v>
      </c>
      <c r="F49">
        <f t="shared" si="1"/>
        <v>5.2631578947368418E-2</v>
      </c>
      <c r="G49">
        <f t="shared" si="2"/>
        <v>1</v>
      </c>
      <c r="H49">
        <f t="shared" si="3"/>
        <v>5.2631578947368418E-2</v>
      </c>
      <c r="I49">
        <f t="shared" si="4"/>
        <v>238</v>
      </c>
      <c r="J49">
        <v>5.2631578947368418E-2</v>
      </c>
      <c r="K49" t="e">
        <v>#N/A</v>
      </c>
      <c r="L49">
        <v>238</v>
      </c>
      <c r="M49">
        <f t="shared" si="5"/>
        <v>175.82439029142307</v>
      </c>
      <c r="N49">
        <v>5.2631578947368418E-2</v>
      </c>
      <c r="O49" t="e">
        <v>#N/A</v>
      </c>
      <c r="P49">
        <v>238</v>
      </c>
      <c r="Q49" t="e">
        <f>NA()</f>
        <v>#N/A</v>
      </c>
      <c r="R49">
        <f t="shared" si="8"/>
        <v>191.26908594184439</v>
      </c>
      <c r="S49">
        <v>5.2631578947368418E-2</v>
      </c>
      <c r="T49" t="e">
        <v>#N/A</v>
      </c>
      <c r="U49">
        <v>238</v>
      </c>
      <c r="V49" t="e">
        <f>NA()</f>
        <v>#N/A</v>
      </c>
      <c r="W49">
        <f t="shared" si="9"/>
        <v>215.9067213982741</v>
      </c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ht="15.75" thickBot="1">
      <c r="A50" s="1">
        <v>2</v>
      </c>
      <c r="B50">
        <v>22</v>
      </c>
      <c r="C50">
        <f t="shared" si="0"/>
        <v>4.5454545454545456E-2</v>
      </c>
      <c r="D50" t="e">
        <f>NA()</f>
        <v>#N/A</v>
      </c>
      <c r="E50">
        <v>200.9</v>
      </c>
      <c r="F50">
        <f t="shared" si="1"/>
        <v>4.5454545454545456E-2</v>
      </c>
      <c r="G50">
        <f t="shared" si="2"/>
        <v>1</v>
      </c>
      <c r="H50">
        <f t="shared" si="3"/>
        <v>4.5454545454545456E-2</v>
      </c>
      <c r="I50">
        <f t="shared" si="4"/>
        <v>200.9</v>
      </c>
      <c r="J50">
        <v>4.5454545454545456E-2</v>
      </c>
      <c r="K50" t="e">
        <v>#N/A</v>
      </c>
      <c r="L50">
        <v>200.9</v>
      </c>
      <c r="M50">
        <f t="shared" si="5"/>
        <v>149.2191515959467</v>
      </c>
      <c r="N50">
        <v>4.5454545454545456E-2</v>
      </c>
      <c r="O50" t="e">
        <v>#N/A</v>
      </c>
      <c r="P50">
        <v>200.9</v>
      </c>
      <c r="Q50" t="e">
        <f>NA()</f>
        <v>#N/A</v>
      </c>
      <c r="R50">
        <f t="shared" si="8"/>
        <v>167.7846833894927</v>
      </c>
      <c r="S50">
        <v>4.5454545454545456E-2</v>
      </c>
      <c r="T50" t="e">
        <v>#N/A</v>
      </c>
      <c r="U50">
        <v>200.9</v>
      </c>
      <c r="V50" t="e">
        <f>NA()</f>
        <v>#N/A</v>
      </c>
      <c r="W50">
        <f t="shared" si="9"/>
        <v>181.01719246843913</v>
      </c>
      <c r="Z50" s="12" t="s">
        <v>16</v>
      </c>
      <c r="AA50" s="12"/>
      <c r="AB50" s="12"/>
      <c r="AC50" s="12"/>
      <c r="AD50" s="12"/>
      <c r="AE50" s="12"/>
      <c r="AF50" s="12"/>
      <c r="AG50" s="12"/>
      <c r="AH50" s="12"/>
    </row>
    <row r="51" spans="1:34">
      <c r="A51" s="1">
        <v>2</v>
      </c>
      <c r="B51">
        <v>23</v>
      </c>
      <c r="C51">
        <f t="shared" si="0"/>
        <v>4.3478260869565216E-2</v>
      </c>
      <c r="D51" t="e">
        <f>NA()</f>
        <v>#N/A</v>
      </c>
      <c r="E51">
        <v>171.7</v>
      </c>
      <c r="F51">
        <f t="shared" si="1"/>
        <v>4.3478260869565216E-2</v>
      </c>
      <c r="G51">
        <f t="shared" si="2"/>
        <v>1</v>
      </c>
      <c r="H51">
        <f t="shared" si="3"/>
        <v>4.3478260869565216E-2</v>
      </c>
      <c r="I51">
        <f t="shared" si="4"/>
        <v>171.7</v>
      </c>
      <c r="J51">
        <v>4.3478260869565216E-2</v>
      </c>
      <c r="K51" t="e">
        <v>#N/A</v>
      </c>
      <c r="L51">
        <v>171.7</v>
      </c>
      <c r="M51">
        <f t="shared" si="5"/>
        <v>141.89307137545319</v>
      </c>
      <c r="N51">
        <v>4.3478260869565216E-2</v>
      </c>
      <c r="O51" t="e">
        <v>#N/A</v>
      </c>
      <c r="P51">
        <v>171.7</v>
      </c>
      <c r="Q51" t="e">
        <f>NA()</f>
        <v>#N/A</v>
      </c>
      <c r="R51">
        <f t="shared" si="8"/>
        <v>161.31796384609149</v>
      </c>
      <c r="S51">
        <v>4.3478260869565216E-2</v>
      </c>
      <c r="T51" t="e">
        <v>#N/A</v>
      </c>
      <c r="U51">
        <v>171.7</v>
      </c>
      <c r="V51" t="e">
        <f>NA()</f>
        <v>#N/A</v>
      </c>
      <c r="W51">
        <f t="shared" si="9"/>
        <v>171.40993087906429</v>
      </c>
      <c r="Z51" s="16"/>
      <c r="AA51" s="16" t="s">
        <v>21</v>
      </c>
      <c r="AB51" s="16" t="s">
        <v>22</v>
      </c>
      <c r="AC51" s="16" t="s">
        <v>23</v>
      </c>
      <c r="AD51" s="16" t="s">
        <v>24</v>
      </c>
      <c r="AE51" s="16" t="s">
        <v>25</v>
      </c>
      <c r="AF51" s="12"/>
      <c r="AG51" s="12"/>
      <c r="AH51" s="12"/>
    </row>
    <row r="52" spans="1:34">
      <c r="A52" s="1">
        <v>2</v>
      </c>
      <c r="B52">
        <v>24</v>
      </c>
      <c r="C52">
        <f t="shared" si="0"/>
        <v>4.1666666666666664E-2</v>
      </c>
      <c r="D52" t="e">
        <f>NA()</f>
        <v>#N/A</v>
      </c>
      <c r="E52">
        <v>130.30000000000001</v>
      </c>
      <c r="F52">
        <f t="shared" si="1"/>
        <v>4.1666666666666664E-2</v>
      </c>
      <c r="G52">
        <f t="shared" si="2"/>
        <v>1</v>
      </c>
      <c r="H52">
        <f t="shared" si="3"/>
        <v>4.1666666666666664E-2</v>
      </c>
      <c r="I52">
        <f t="shared" si="4"/>
        <v>130.30000000000001</v>
      </c>
      <c r="J52">
        <v>4.1666666666666664E-2</v>
      </c>
      <c r="K52" t="e">
        <v>#N/A</v>
      </c>
      <c r="L52">
        <v>130.30000000000001</v>
      </c>
      <c r="M52">
        <f t="shared" si="5"/>
        <v>135.1774978400008</v>
      </c>
      <c r="N52">
        <v>4.1666666666666664E-2</v>
      </c>
      <c r="O52" t="e">
        <v>#N/A</v>
      </c>
      <c r="P52">
        <v>130.30000000000001</v>
      </c>
      <c r="Q52" t="e">
        <f>NA()</f>
        <v>#N/A</v>
      </c>
      <c r="R52">
        <f t="shared" si="8"/>
        <v>155.39013759797373</v>
      </c>
      <c r="S52">
        <v>4.1666666666666664E-2</v>
      </c>
      <c r="T52" t="e">
        <v>#N/A</v>
      </c>
      <c r="U52">
        <v>130.30000000000001</v>
      </c>
      <c r="V52" t="e">
        <f>NA()</f>
        <v>#N/A</v>
      </c>
      <c r="W52">
        <f t="shared" si="9"/>
        <v>162.6032744221373</v>
      </c>
      <c r="Z52" s="14" t="s">
        <v>17</v>
      </c>
      <c r="AA52" s="14">
        <v>3</v>
      </c>
      <c r="AB52" s="14">
        <v>304067.8407294245</v>
      </c>
      <c r="AC52" s="14">
        <v>101355.94690980816</v>
      </c>
      <c r="AD52" s="14">
        <v>516.19335307028962</v>
      </c>
      <c r="AE52" s="14">
        <v>2.8127545016745006E-44</v>
      </c>
      <c r="AF52" s="12"/>
      <c r="AG52" s="12"/>
      <c r="AH52" s="12"/>
    </row>
    <row r="53" spans="1:34">
      <c r="A53" s="1">
        <v>2</v>
      </c>
      <c r="B53">
        <v>25</v>
      </c>
      <c r="C53">
        <f t="shared" si="0"/>
        <v>0.04</v>
      </c>
      <c r="D53" t="e">
        <f>NA()</f>
        <v>#N/A</v>
      </c>
      <c r="E53">
        <v>185.2</v>
      </c>
      <c r="F53">
        <f t="shared" si="1"/>
        <v>0.04</v>
      </c>
      <c r="G53">
        <f t="shared" si="2"/>
        <v>1</v>
      </c>
      <c r="H53">
        <f t="shared" si="3"/>
        <v>0.04</v>
      </c>
      <c r="I53">
        <f t="shared" si="4"/>
        <v>185.2</v>
      </c>
      <c r="J53">
        <v>0.04</v>
      </c>
      <c r="K53" t="e">
        <v>#N/A</v>
      </c>
      <c r="L53">
        <v>185.2</v>
      </c>
      <c r="M53">
        <f t="shared" si="5"/>
        <v>128.99917018738466</v>
      </c>
      <c r="N53">
        <v>0.04</v>
      </c>
      <c r="O53" t="e">
        <v>#N/A</v>
      </c>
      <c r="P53">
        <v>185.2</v>
      </c>
      <c r="Q53" t="e">
        <f>NA()</f>
        <v>#N/A</v>
      </c>
      <c r="R53">
        <f t="shared" si="8"/>
        <v>149.93653744970538</v>
      </c>
      <c r="S53">
        <v>0.04</v>
      </c>
      <c r="T53" t="e">
        <v>#N/A</v>
      </c>
      <c r="U53">
        <v>185.2</v>
      </c>
      <c r="V53" t="e">
        <f>NA()</f>
        <v>#N/A</v>
      </c>
      <c r="W53">
        <f t="shared" si="9"/>
        <v>154.50115048176451</v>
      </c>
      <c r="Z53" s="14" t="s">
        <v>18</v>
      </c>
      <c r="AA53" s="14">
        <v>63</v>
      </c>
      <c r="AB53" s="14">
        <v>12370.218673560517</v>
      </c>
      <c r="AC53" s="14">
        <v>196.35267735810345</v>
      </c>
      <c r="AD53" s="14"/>
      <c r="AE53" s="14"/>
      <c r="AF53" s="12"/>
      <c r="AG53" s="12"/>
      <c r="AH53" s="12"/>
    </row>
    <row r="54" spans="1:34" ht="15.75" thickBot="1">
      <c r="A54" s="1">
        <v>2</v>
      </c>
      <c r="B54">
        <v>26</v>
      </c>
      <c r="C54">
        <f t="shared" si="0"/>
        <v>3.8461538461538464E-2</v>
      </c>
      <c r="D54" t="e">
        <f>NA()</f>
        <v>#N/A</v>
      </c>
      <c r="E54">
        <v>153.6</v>
      </c>
      <c r="F54">
        <f t="shared" si="1"/>
        <v>3.8461538461538464E-2</v>
      </c>
      <c r="G54">
        <f t="shared" si="2"/>
        <v>1</v>
      </c>
      <c r="H54">
        <f t="shared" si="3"/>
        <v>3.8461538461538464E-2</v>
      </c>
      <c r="I54">
        <f t="shared" si="4"/>
        <v>153.6</v>
      </c>
      <c r="J54">
        <v>3.8461538461538464E-2</v>
      </c>
      <c r="K54" t="e">
        <v>#N/A</v>
      </c>
      <c r="L54">
        <v>153.6</v>
      </c>
      <c r="M54">
        <f t="shared" si="5"/>
        <v>123.29609850804663</v>
      </c>
      <c r="N54">
        <v>3.8461538461538464E-2</v>
      </c>
      <c r="O54" t="e">
        <v>#N/A</v>
      </c>
      <c r="P54">
        <v>153.6</v>
      </c>
      <c r="Q54" t="e">
        <f>NA()</f>
        <v>#N/A</v>
      </c>
      <c r="R54">
        <f t="shared" si="8"/>
        <v>144.90244500515001</v>
      </c>
      <c r="S54">
        <v>3.8461538461538464E-2</v>
      </c>
      <c r="T54" t="e">
        <v>#N/A</v>
      </c>
      <c r="U54">
        <v>153.6</v>
      </c>
      <c r="V54" t="e">
        <f>NA()</f>
        <v>#N/A</v>
      </c>
      <c r="W54">
        <f t="shared" si="9"/>
        <v>147.02226684449735</v>
      </c>
      <c r="Z54" s="15" t="s">
        <v>19</v>
      </c>
      <c r="AA54" s="15">
        <v>66</v>
      </c>
      <c r="AB54" s="15">
        <v>316438.05940298503</v>
      </c>
      <c r="AC54" s="15"/>
      <c r="AD54" s="15"/>
      <c r="AE54" s="15"/>
      <c r="AF54" s="12"/>
      <c r="AG54" s="12"/>
      <c r="AH54" s="12"/>
    </row>
    <row r="55" spans="1:34" ht="15.75" thickBot="1">
      <c r="A55" s="1">
        <v>2</v>
      </c>
      <c r="B55">
        <v>28</v>
      </c>
      <c r="C55">
        <f t="shared" si="0"/>
        <v>3.5714285714285712E-2</v>
      </c>
      <c r="D55" t="e">
        <f>NA()</f>
        <v>#N/A</v>
      </c>
      <c r="E55">
        <v>116.7</v>
      </c>
      <c r="F55">
        <f t="shared" si="1"/>
        <v>3.5714285714285712E-2</v>
      </c>
      <c r="G55">
        <f t="shared" si="2"/>
        <v>1</v>
      </c>
      <c r="H55">
        <f t="shared" si="3"/>
        <v>3.5714285714285712E-2</v>
      </c>
      <c r="I55">
        <f t="shared" si="4"/>
        <v>116.7</v>
      </c>
      <c r="J55">
        <v>3.5714285714285712E-2</v>
      </c>
      <c r="K55" t="e">
        <v>#N/A</v>
      </c>
      <c r="L55">
        <v>116.7</v>
      </c>
      <c r="M55">
        <f t="shared" si="5"/>
        <v>113.11204193780016</v>
      </c>
      <c r="N55">
        <v>3.5714285714285712E-2</v>
      </c>
      <c r="O55" t="e">
        <v>#N/A</v>
      </c>
      <c r="P55">
        <v>116.7</v>
      </c>
      <c r="Q55" t="e">
        <f>NA()</f>
        <v>#N/A</v>
      </c>
      <c r="R55">
        <f t="shared" si="8"/>
        <v>135.91299421130108</v>
      </c>
      <c r="S55">
        <v>3.5714285714285712E-2</v>
      </c>
      <c r="T55" t="e">
        <v>#N/A</v>
      </c>
      <c r="U55">
        <v>116.7</v>
      </c>
      <c r="V55" t="e">
        <f>NA()</f>
        <v>#N/A</v>
      </c>
      <c r="W55">
        <f t="shared" si="9"/>
        <v>133.66711749223447</v>
      </c>
      <c r="Z55" s="12"/>
      <c r="AA55" s="12"/>
      <c r="AB55" s="12"/>
      <c r="AC55" s="12"/>
      <c r="AD55" s="12"/>
      <c r="AE55" s="12"/>
      <c r="AF55" s="12"/>
      <c r="AG55" s="12"/>
      <c r="AH55" s="12"/>
    </row>
    <row r="56" spans="1:34">
      <c r="A56" s="1">
        <v>2</v>
      </c>
      <c r="B56">
        <v>28</v>
      </c>
      <c r="C56">
        <f t="shared" si="0"/>
        <v>3.5714285714285712E-2</v>
      </c>
      <c r="D56" t="e">
        <f>NA()</f>
        <v>#N/A</v>
      </c>
      <c r="E56">
        <v>127.2</v>
      </c>
      <c r="F56">
        <f t="shared" si="1"/>
        <v>3.5714285714285712E-2</v>
      </c>
      <c r="G56">
        <f t="shared" si="2"/>
        <v>1</v>
      </c>
      <c r="H56">
        <f t="shared" si="3"/>
        <v>3.5714285714285712E-2</v>
      </c>
      <c r="I56">
        <f t="shared" si="4"/>
        <v>127.2</v>
      </c>
      <c r="J56">
        <v>3.5714285714285712E-2</v>
      </c>
      <c r="K56" t="e">
        <v>#N/A</v>
      </c>
      <c r="L56">
        <v>127.2</v>
      </c>
      <c r="M56">
        <f t="shared" si="5"/>
        <v>113.11204193780016</v>
      </c>
      <c r="N56">
        <v>3.5714285714285712E-2</v>
      </c>
      <c r="O56" t="e">
        <v>#N/A</v>
      </c>
      <c r="P56">
        <v>127.2</v>
      </c>
      <c r="Q56" t="e">
        <f>NA()</f>
        <v>#N/A</v>
      </c>
      <c r="R56">
        <f t="shared" si="8"/>
        <v>135.91299421130108</v>
      </c>
      <c r="S56">
        <v>3.5714285714285712E-2</v>
      </c>
      <c r="T56" t="e">
        <v>#N/A</v>
      </c>
      <c r="U56">
        <v>127.2</v>
      </c>
      <c r="V56" t="e">
        <f>NA()</f>
        <v>#N/A</v>
      </c>
      <c r="W56">
        <f t="shared" si="9"/>
        <v>133.66711749223447</v>
      </c>
      <c r="Z56" s="16"/>
      <c r="AA56" s="16" t="s">
        <v>26</v>
      </c>
      <c r="AB56" s="16" t="s">
        <v>14</v>
      </c>
      <c r="AC56" s="16" t="s">
        <v>27</v>
      </c>
      <c r="AD56" s="16" t="s">
        <v>28</v>
      </c>
      <c r="AE56" s="16" t="s">
        <v>29</v>
      </c>
      <c r="AF56" s="16" t="s">
        <v>30</v>
      </c>
      <c r="AG56" s="16" t="s">
        <v>31</v>
      </c>
      <c r="AH56" s="16" t="s">
        <v>32</v>
      </c>
    </row>
    <row r="57" spans="1:34">
      <c r="A57" s="1">
        <v>2</v>
      </c>
      <c r="B57">
        <v>29</v>
      </c>
      <c r="C57">
        <f t="shared" si="0"/>
        <v>3.4482758620689655E-2</v>
      </c>
      <c r="D57" t="e">
        <f>NA()</f>
        <v>#N/A</v>
      </c>
      <c r="E57">
        <v>116.6</v>
      </c>
      <c r="F57">
        <f t="shared" si="1"/>
        <v>3.4482758620689655E-2</v>
      </c>
      <c r="G57">
        <f t="shared" si="2"/>
        <v>1</v>
      </c>
      <c r="H57">
        <f t="shared" si="3"/>
        <v>3.4482758620689655E-2</v>
      </c>
      <c r="I57">
        <f t="shared" si="4"/>
        <v>116.6</v>
      </c>
      <c r="J57">
        <v>3.4482758620689655E-2</v>
      </c>
      <c r="K57" t="e">
        <v>#N/A</v>
      </c>
      <c r="L57">
        <v>116.6</v>
      </c>
      <c r="M57">
        <f t="shared" si="5"/>
        <v>108.54677519941383</v>
      </c>
      <c r="N57">
        <v>3.4482758620689655E-2</v>
      </c>
      <c r="O57" t="e">
        <v>#N/A</v>
      </c>
      <c r="P57">
        <v>116.6</v>
      </c>
      <c r="Q57" t="e">
        <f>NA()</f>
        <v>#N/A</v>
      </c>
      <c r="R57">
        <f t="shared" si="8"/>
        <v>131.88324040716191</v>
      </c>
      <c r="S57">
        <v>3.4482758620689655E-2</v>
      </c>
      <c r="T57" t="e">
        <v>#N/A</v>
      </c>
      <c r="U57">
        <v>116.6</v>
      </c>
      <c r="V57" t="e">
        <f>NA()</f>
        <v>#N/A</v>
      </c>
      <c r="W57">
        <f t="shared" si="9"/>
        <v>127.68032640328907</v>
      </c>
      <c r="Z57" s="14" t="s">
        <v>20</v>
      </c>
      <c r="AA57" s="14">
        <v>1.2983958521375314</v>
      </c>
      <c r="AB57" s="14">
        <v>3.9601803049325572</v>
      </c>
      <c r="AC57" s="14">
        <v>0.32786281233718811</v>
      </c>
      <c r="AD57" s="14">
        <v>0.74410251096337299</v>
      </c>
      <c r="AE57" s="14">
        <v>-6.6153930069013498</v>
      </c>
      <c r="AF57" s="14">
        <v>9.2121847111764126</v>
      </c>
      <c r="AG57" s="14">
        <v>-6.6153930069013498</v>
      </c>
      <c r="AH57" s="14">
        <v>9.2121847111764126</v>
      </c>
    </row>
    <row r="58" spans="1:34">
      <c r="A58" s="1">
        <v>2</v>
      </c>
      <c r="B58">
        <v>30</v>
      </c>
      <c r="C58">
        <f t="shared" si="0"/>
        <v>3.3333333333333333E-2</v>
      </c>
      <c r="D58" t="e">
        <f>NA()</f>
        <v>#N/A</v>
      </c>
      <c r="E58">
        <v>98.2</v>
      </c>
      <c r="F58">
        <f t="shared" si="1"/>
        <v>3.3333333333333333E-2</v>
      </c>
      <c r="G58">
        <f t="shared" si="2"/>
        <v>1</v>
      </c>
      <c r="H58">
        <f t="shared" si="3"/>
        <v>3.3333333333333333E-2</v>
      </c>
      <c r="I58">
        <f t="shared" si="4"/>
        <v>98.2</v>
      </c>
      <c r="J58">
        <v>3.3333333333333333E-2</v>
      </c>
      <c r="K58" t="e">
        <v>#N/A</v>
      </c>
      <c r="L58">
        <v>98.2</v>
      </c>
      <c r="M58">
        <f t="shared" si="5"/>
        <v>104.28585957691992</v>
      </c>
      <c r="N58">
        <v>3.3333333333333333E-2</v>
      </c>
      <c r="O58" t="e">
        <v>#N/A</v>
      </c>
      <c r="P58">
        <v>98.2</v>
      </c>
      <c r="Q58" t="e">
        <f>NA()</f>
        <v>#N/A</v>
      </c>
      <c r="R58">
        <f t="shared" si="8"/>
        <v>128.12213685663204</v>
      </c>
      <c r="S58">
        <v>3.3333333333333333E-2</v>
      </c>
      <c r="T58" t="e">
        <v>#N/A</v>
      </c>
      <c r="U58">
        <v>98.2</v>
      </c>
      <c r="V58" t="e">
        <f>NA()</f>
        <v>#N/A</v>
      </c>
      <c r="W58">
        <f t="shared" si="9"/>
        <v>122.09265472027336</v>
      </c>
      <c r="Z58" s="14" t="s">
        <v>5</v>
      </c>
      <c r="AA58" s="14">
        <v>2330.773994880753</v>
      </c>
      <c r="AB58" s="14">
        <v>139.20672135767529</v>
      </c>
      <c r="AC58" s="14">
        <v>16.74325759667957</v>
      </c>
      <c r="AD58" s="14">
        <v>7.0326419980348562E-25</v>
      </c>
      <c r="AE58" s="14">
        <v>2052.5915598003226</v>
      </c>
      <c r="AF58" s="14">
        <v>2608.9564299611834</v>
      </c>
      <c r="AG58" s="14">
        <v>2052.5915598003226</v>
      </c>
      <c r="AH58" s="14">
        <v>2608.9564299611834</v>
      </c>
    </row>
    <row r="59" spans="1:34">
      <c r="A59" s="1">
        <v>2</v>
      </c>
      <c r="B59">
        <v>32</v>
      </c>
      <c r="C59">
        <f t="shared" si="0"/>
        <v>3.125E-2</v>
      </c>
      <c r="D59" t="e">
        <f>NA()</f>
        <v>#N/A</v>
      </c>
      <c r="E59">
        <v>105.9</v>
      </c>
      <c r="F59">
        <f t="shared" si="1"/>
        <v>3.125E-2</v>
      </c>
      <c r="G59">
        <f t="shared" si="2"/>
        <v>1</v>
      </c>
      <c r="H59">
        <f t="shared" si="3"/>
        <v>3.125E-2</v>
      </c>
      <c r="I59">
        <f t="shared" si="4"/>
        <v>105.9</v>
      </c>
      <c r="J59">
        <v>3.125E-2</v>
      </c>
      <c r="K59" t="e">
        <v>#N/A</v>
      </c>
      <c r="L59">
        <v>105.9</v>
      </c>
      <c r="M59">
        <f t="shared" si="5"/>
        <v>96.562950011149695</v>
      </c>
      <c r="N59">
        <v>3.125E-2</v>
      </c>
      <c r="O59" t="e">
        <v>#N/A</v>
      </c>
      <c r="P59">
        <v>105.9</v>
      </c>
      <c r="Q59" t="e">
        <f>NA()</f>
        <v>#N/A</v>
      </c>
      <c r="R59">
        <f t="shared" si="8"/>
        <v>121.30513667129659</v>
      </c>
      <c r="S59">
        <v>3.125E-2</v>
      </c>
      <c r="T59" t="e">
        <v>#N/A</v>
      </c>
      <c r="U59">
        <v>105.9</v>
      </c>
      <c r="V59" t="e">
        <f>NA()</f>
        <v>#N/A</v>
      </c>
      <c r="W59">
        <f t="shared" si="9"/>
        <v>111.96499979480735</v>
      </c>
      <c r="Z59" s="14" t="s">
        <v>6</v>
      </c>
      <c r="AA59" s="14">
        <v>-41.24821993932008</v>
      </c>
      <c r="AB59" s="14">
        <v>8.3040072160069176</v>
      </c>
      <c r="AC59" s="14">
        <v>-4.967266870843928</v>
      </c>
      <c r="AD59" s="14">
        <v>5.4830284320505387E-6</v>
      </c>
      <c r="AE59" s="14">
        <v>-57.842454224451494</v>
      </c>
      <c r="AF59" s="14">
        <v>-24.653985654188666</v>
      </c>
      <c r="AG59" s="14">
        <v>-57.842454224451494</v>
      </c>
      <c r="AH59" s="14">
        <v>-24.653985654188666</v>
      </c>
    </row>
    <row r="60" spans="1:34" ht="15.75" thickBot="1">
      <c r="A60" s="1">
        <v>2</v>
      </c>
      <c r="B60">
        <v>34</v>
      </c>
      <c r="C60">
        <f t="shared" si="0"/>
        <v>2.9411764705882353E-2</v>
      </c>
      <c r="D60" t="e">
        <f>NA()</f>
        <v>#N/A</v>
      </c>
      <c r="E60">
        <v>90.5</v>
      </c>
      <c r="F60">
        <f t="shared" si="1"/>
        <v>2.9411764705882353E-2</v>
      </c>
      <c r="G60">
        <f t="shared" si="2"/>
        <v>1</v>
      </c>
      <c r="H60">
        <f t="shared" si="3"/>
        <v>2.9411764705882353E-2</v>
      </c>
      <c r="I60">
        <f t="shared" si="4"/>
        <v>90.5</v>
      </c>
      <c r="J60">
        <v>2.9411764705882353E-2</v>
      </c>
      <c r="K60" t="e">
        <v>#N/A</v>
      </c>
      <c r="L60">
        <v>90.5</v>
      </c>
      <c r="M60">
        <f t="shared" si="5"/>
        <v>89.748618041352429</v>
      </c>
      <c r="N60">
        <v>2.9411764705882353E-2</v>
      </c>
      <c r="O60" t="e">
        <v>#N/A</v>
      </c>
      <c r="P60">
        <v>90.5</v>
      </c>
      <c r="Q60" t="e">
        <f>NA()</f>
        <v>#N/A</v>
      </c>
      <c r="R60">
        <f t="shared" si="8"/>
        <v>115.29013650776534</v>
      </c>
      <c r="S60">
        <v>2.9411764705882353E-2</v>
      </c>
      <c r="T60" t="e">
        <v>#N/A</v>
      </c>
      <c r="U60">
        <v>90.5</v>
      </c>
      <c r="V60" t="e">
        <f>NA()</f>
        <v>#N/A</v>
      </c>
      <c r="W60">
        <f t="shared" si="9"/>
        <v>103.02883368410205</v>
      </c>
      <c r="Z60" s="15" t="s">
        <v>7</v>
      </c>
      <c r="AA60" s="15">
        <v>2530.5003693429239</v>
      </c>
      <c r="AB60" s="15">
        <v>228.23356716609612</v>
      </c>
      <c r="AC60" s="15">
        <v>11.087327779008781</v>
      </c>
      <c r="AD60" s="15">
        <v>1.9135339268459086E-16</v>
      </c>
      <c r="AE60" s="15">
        <v>2074.4119789107835</v>
      </c>
      <c r="AF60" s="15">
        <v>2986.5887597750643</v>
      </c>
      <c r="AG60" s="15">
        <v>2074.4119789107835</v>
      </c>
      <c r="AH60" s="15">
        <v>2986.5887597750643</v>
      </c>
    </row>
    <row r="61" spans="1:34">
      <c r="A61" s="1">
        <v>2</v>
      </c>
      <c r="B61">
        <v>35</v>
      </c>
      <c r="C61">
        <f t="shared" si="0"/>
        <v>2.8571428571428571E-2</v>
      </c>
      <c r="D61" t="e">
        <f>NA()</f>
        <v>#N/A</v>
      </c>
      <c r="E61">
        <v>104.4</v>
      </c>
      <c r="F61">
        <f t="shared" si="1"/>
        <v>2.8571428571428571E-2</v>
      </c>
      <c r="G61">
        <f t="shared" si="2"/>
        <v>1</v>
      </c>
      <c r="H61">
        <f t="shared" si="3"/>
        <v>2.8571428571428571E-2</v>
      </c>
      <c r="I61">
        <f t="shared" si="4"/>
        <v>104.4</v>
      </c>
      <c r="J61">
        <v>2.8571428571428571E-2</v>
      </c>
      <c r="K61" t="e">
        <v>#N/A</v>
      </c>
      <c r="L61">
        <v>104.4</v>
      </c>
      <c r="M61">
        <f t="shared" si="5"/>
        <v>86.633494855159398</v>
      </c>
      <c r="N61">
        <v>2.8571428571428571E-2</v>
      </c>
      <c r="O61" t="e">
        <v>#N/A</v>
      </c>
      <c r="P61">
        <v>104.4</v>
      </c>
      <c r="Q61" t="e">
        <f>NA()</f>
        <v>#N/A</v>
      </c>
      <c r="R61">
        <f t="shared" si="8"/>
        <v>112.5404221472939</v>
      </c>
      <c r="S61">
        <v>2.8571428571428571E-2</v>
      </c>
      <c r="T61" t="e">
        <v>#N/A</v>
      </c>
      <c r="U61">
        <v>104.4</v>
      </c>
      <c r="V61" t="e">
        <f>NA()</f>
        <v>#N/A</v>
      </c>
      <c r="W61">
        <f t="shared" si="9"/>
        <v>98.94372917635107</v>
      </c>
    </row>
    <row r="62" spans="1:34">
      <c r="A62" s="1">
        <v>2</v>
      </c>
      <c r="B62">
        <v>35</v>
      </c>
      <c r="C62">
        <f t="shared" si="0"/>
        <v>2.8571428571428571E-2</v>
      </c>
      <c r="D62" t="e">
        <f>NA()</f>
        <v>#N/A</v>
      </c>
      <c r="E62">
        <v>116.2</v>
      </c>
      <c r="F62">
        <f t="shared" si="1"/>
        <v>2.8571428571428571E-2</v>
      </c>
      <c r="G62">
        <f t="shared" si="2"/>
        <v>1</v>
      </c>
      <c r="H62">
        <f t="shared" si="3"/>
        <v>2.8571428571428571E-2</v>
      </c>
      <c r="I62">
        <f t="shared" si="4"/>
        <v>116.2</v>
      </c>
      <c r="J62">
        <v>2.8571428571428571E-2</v>
      </c>
      <c r="K62" t="e">
        <v>#N/A</v>
      </c>
      <c r="L62">
        <v>116.2</v>
      </c>
      <c r="M62">
        <f t="shared" si="5"/>
        <v>86.633494855159398</v>
      </c>
      <c r="N62">
        <v>2.8571428571428571E-2</v>
      </c>
      <c r="O62" t="e">
        <v>#N/A</v>
      </c>
      <c r="P62">
        <v>116.2</v>
      </c>
      <c r="Q62" t="e">
        <f>NA()</f>
        <v>#N/A</v>
      </c>
      <c r="R62">
        <f t="shared" si="8"/>
        <v>112.5404221472939</v>
      </c>
      <c r="S62">
        <v>2.8571428571428571E-2</v>
      </c>
      <c r="T62" t="e">
        <v>#N/A</v>
      </c>
      <c r="U62">
        <v>116.2</v>
      </c>
      <c r="V62" t="e">
        <f>NA()</f>
        <v>#N/A</v>
      </c>
      <c r="W62">
        <f t="shared" si="9"/>
        <v>98.94372917635107</v>
      </c>
    </row>
    <row r="63" spans="1:34">
      <c r="A63" s="1">
        <v>2</v>
      </c>
      <c r="B63">
        <v>36</v>
      </c>
      <c r="C63">
        <f t="shared" si="0"/>
        <v>2.7777777777777776E-2</v>
      </c>
      <c r="D63" t="e">
        <f>NA()</f>
        <v>#N/A</v>
      </c>
      <c r="E63">
        <v>86.7</v>
      </c>
      <c r="F63">
        <f t="shared" si="1"/>
        <v>2.7777777777777776E-2</v>
      </c>
      <c r="G63">
        <f t="shared" si="2"/>
        <v>1</v>
      </c>
      <c r="H63">
        <f t="shared" si="3"/>
        <v>2.7777777777777776E-2</v>
      </c>
      <c r="I63">
        <f t="shared" si="4"/>
        <v>86.7</v>
      </c>
      <c r="J63">
        <v>2.7777777777777776E-2</v>
      </c>
      <c r="K63" t="e">
        <v>#N/A</v>
      </c>
      <c r="L63">
        <v>86.7</v>
      </c>
      <c r="M63">
        <f t="shared" si="5"/>
        <v>83.691434068199314</v>
      </c>
      <c r="N63">
        <v>2.7777777777777776E-2</v>
      </c>
      <c r="O63" t="e">
        <v>#N/A</v>
      </c>
      <c r="P63">
        <v>86.7</v>
      </c>
      <c r="Q63" t="e">
        <f>NA()</f>
        <v>#N/A</v>
      </c>
      <c r="R63">
        <f t="shared" si="8"/>
        <v>109.94346969573755</v>
      </c>
      <c r="S63">
        <v>2.7777777777777776E-2</v>
      </c>
      <c r="T63" t="e">
        <v>#N/A</v>
      </c>
      <c r="U63">
        <v>86.7</v>
      </c>
      <c r="V63" t="e">
        <f>NA()</f>
        <v>#N/A</v>
      </c>
      <c r="W63">
        <f t="shared" si="9"/>
        <v>95.085574919030691</v>
      </c>
    </row>
    <row r="64" spans="1:34">
      <c r="A64" s="1">
        <v>2</v>
      </c>
      <c r="B64">
        <v>40</v>
      </c>
      <c r="C64">
        <f t="shared" si="0"/>
        <v>2.5000000000000001E-2</v>
      </c>
      <c r="D64" t="e">
        <f>NA()</f>
        <v>#N/A</v>
      </c>
      <c r="E64">
        <v>79.900000000000006</v>
      </c>
      <c r="F64">
        <f t="shared" si="1"/>
        <v>2.5000000000000001E-2</v>
      </c>
      <c r="G64">
        <f t="shared" si="2"/>
        <v>1</v>
      </c>
      <c r="H64">
        <f t="shared" si="3"/>
        <v>2.5000000000000001E-2</v>
      </c>
      <c r="I64">
        <f t="shared" si="4"/>
        <v>79.900000000000006</v>
      </c>
      <c r="J64">
        <v>2.5000000000000001E-2</v>
      </c>
      <c r="K64" t="e">
        <v>#N/A</v>
      </c>
      <c r="L64">
        <v>79.900000000000006</v>
      </c>
      <c r="M64">
        <f t="shared" si="5"/>
        <v>73.394221313839026</v>
      </c>
      <c r="N64">
        <v>2.5000000000000001E-2</v>
      </c>
      <c r="O64" t="e">
        <v>#N/A</v>
      </c>
      <c r="P64">
        <v>79.900000000000006</v>
      </c>
      <c r="Q64" t="e">
        <f>NA()</f>
        <v>#N/A</v>
      </c>
      <c r="R64">
        <f t="shared" si="8"/>
        <v>100.85413611529032</v>
      </c>
      <c r="S64">
        <v>2.5000000000000001E-2</v>
      </c>
      <c r="T64" t="e">
        <v>#N/A</v>
      </c>
      <c r="U64">
        <v>79.900000000000006</v>
      </c>
      <c r="V64" t="e">
        <f>NA()</f>
        <v>#N/A</v>
      </c>
      <c r="W64">
        <f t="shared" si="9"/>
        <v>81.582035018409385</v>
      </c>
    </row>
    <row r="65" spans="1:23">
      <c r="A65" s="1">
        <v>2</v>
      </c>
      <c r="B65">
        <v>50</v>
      </c>
      <c r="C65">
        <f t="shared" si="0"/>
        <v>0.02</v>
      </c>
      <c r="D65" t="e">
        <f>NA()</f>
        <v>#N/A</v>
      </c>
      <c r="E65">
        <v>67</v>
      </c>
      <c r="F65">
        <f t="shared" si="1"/>
        <v>0.02</v>
      </c>
      <c r="G65">
        <f t="shared" si="2"/>
        <v>1</v>
      </c>
      <c r="H65">
        <f t="shared" si="3"/>
        <v>0.02</v>
      </c>
      <c r="I65">
        <f t="shared" si="4"/>
        <v>67</v>
      </c>
      <c r="J65">
        <v>0.02</v>
      </c>
      <c r="K65" t="e">
        <v>#N/A</v>
      </c>
      <c r="L65">
        <v>67</v>
      </c>
      <c r="M65">
        <f t="shared" si="5"/>
        <v>54.859238355990485</v>
      </c>
      <c r="N65">
        <v>0.02</v>
      </c>
      <c r="O65" t="e">
        <v>#N/A</v>
      </c>
      <c r="P65">
        <v>67</v>
      </c>
      <c r="Q65" t="e">
        <f>NA()</f>
        <v>#N/A</v>
      </c>
      <c r="R65">
        <f t="shared" si="8"/>
        <v>84.493335670485294</v>
      </c>
      <c r="S65">
        <v>0.02</v>
      </c>
      <c r="T65" t="e">
        <v>#N/A</v>
      </c>
      <c r="U65">
        <v>67</v>
      </c>
      <c r="V65" t="e">
        <f>NA()</f>
        <v>#N/A</v>
      </c>
      <c r="W65">
        <f t="shared" si="9"/>
        <v>57.275663197290989</v>
      </c>
    </row>
    <row r="66" spans="1:23">
      <c r="A66" s="1">
        <v>2</v>
      </c>
      <c r="B66">
        <v>60</v>
      </c>
      <c r="C66">
        <f t="shared" si="0"/>
        <v>1.6666666666666666E-2</v>
      </c>
      <c r="D66" t="e">
        <f>NA()</f>
        <v>#N/A</v>
      </c>
      <c r="E66">
        <v>45</v>
      </c>
      <c r="F66">
        <f t="shared" si="1"/>
        <v>1.6666666666666666E-2</v>
      </c>
      <c r="G66">
        <f t="shared" si="2"/>
        <v>1</v>
      </c>
      <c r="H66">
        <f t="shared" si="3"/>
        <v>1.6666666666666666E-2</v>
      </c>
      <c r="I66">
        <f t="shared" si="4"/>
        <v>45</v>
      </c>
      <c r="J66">
        <v>1.6666666666666666E-2</v>
      </c>
      <c r="K66" t="e">
        <v>#N/A</v>
      </c>
      <c r="L66">
        <v>45</v>
      </c>
      <c r="M66">
        <f t="shared" si="5"/>
        <v>42.502583050758119</v>
      </c>
      <c r="N66">
        <v>1.6666666666666666E-2</v>
      </c>
      <c r="O66" t="e">
        <v>#N/A</v>
      </c>
      <c r="P66">
        <v>45</v>
      </c>
      <c r="Q66" t="e">
        <f>NA()</f>
        <v>#N/A</v>
      </c>
      <c r="R66">
        <f t="shared" si="8"/>
        <v>73.586135373948608</v>
      </c>
      <c r="S66">
        <v>1.6666666666666666E-2</v>
      </c>
      <c r="T66" t="e">
        <v>#N/A</v>
      </c>
      <c r="U66">
        <v>45</v>
      </c>
      <c r="V66" t="e">
        <f>NA()</f>
        <v>#N/A</v>
      </c>
      <c r="W66">
        <f t="shared" si="9"/>
        <v>41.071415316545405</v>
      </c>
    </row>
    <row r="67" spans="1:23">
      <c r="A67" s="1">
        <v>2</v>
      </c>
      <c r="B67">
        <v>70</v>
      </c>
      <c r="C67">
        <f t="shared" ref="C67:C68" si="10">1/B67</f>
        <v>1.4285714285714285E-2</v>
      </c>
      <c r="D67" t="e">
        <f>NA()</f>
        <v>#N/A</v>
      </c>
      <c r="E67">
        <v>32</v>
      </c>
      <c r="F67">
        <f t="shared" ref="F67:F68" si="11">C67</f>
        <v>1.4285714285714285E-2</v>
      </c>
      <c r="G67">
        <f t="shared" ref="G67:G68" si="12">A67-1</f>
        <v>1</v>
      </c>
      <c r="H67">
        <f t="shared" ref="H67:H68" si="13">F67*G67</f>
        <v>1.4285714285714285E-2</v>
      </c>
      <c r="I67">
        <f t="shared" ref="I67:I68" si="14">IF(A67=1,D67,E67)</f>
        <v>32</v>
      </c>
      <c r="J67">
        <v>1.4285714285714285E-2</v>
      </c>
      <c r="K67" t="e">
        <v>#N/A</v>
      </c>
      <c r="L67">
        <v>32</v>
      </c>
      <c r="M67">
        <f t="shared" ref="M67:M68" si="15">$AA$17+$AA$18*J67</f>
        <v>33.676400689877859</v>
      </c>
      <c r="N67">
        <v>1.4285714285714285E-2</v>
      </c>
      <c r="O67" t="e">
        <v>#N/A</v>
      </c>
      <c r="P67">
        <v>32</v>
      </c>
      <c r="Q67" t="e">
        <f>NA()</f>
        <v>#N/A</v>
      </c>
      <c r="R67">
        <f t="shared" si="8"/>
        <v>65.79527801927955</v>
      </c>
      <c r="S67">
        <v>1.4285714285714285E-2</v>
      </c>
      <c r="T67" t="e">
        <v>#N/A</v>
      </c>
      <c r="U67">
        <v>32</v>
      </c>
      <c r="V67" t="e">
        <f>NA()</f>
        <v>#N/A</v>
      </c>
      <c r="W67">
        <f t="shared" si="9"/>
        <v>29.496952544584261</v>
      </c>
    </row>
    <row r="68" spans="1:23">
      <c r="A68" s="1">
        <v>2</v>
      </c>
      <c r="B68">
        <v>90</v>
      </c>
      <c r="C68">
        <f t="shared" si="10"/>
        <v>1.1111111111111112E-2</v>
      </c>
      <c r="D68" t="e">
        <f>NA()</f>
        <v>#N/A</v>
      </c>
      <c r="E68">
        <v>24</v>
      </c>
      <c r="F68">
        <f t="shared" si="11"/>
        <v>1.1111111111111112E-2</v>
      </c>
      <c r="G68">
        <f t="shared" si="12"/>
        <v>1</v>
      </c>
      <c r="H68">
        <f t="shared" si="13"/>
        <v>1.1111111111111112E-2</v>
      </c>
      <c r="I68">
        <f t="shared" si="14"/>
        <v>24</v>
      </c>
      <c r="J68">
        <v>1.1111111111111112E-2</v>
      </c>
      <c r="K68" t="e">
        <v>#N/A</v>
      </c>
      <c r="L68">
        <v>24</v>
      </c>
      <c r="M68">
        <f t="shared" si="15"/>
        <v>21.908157542037522</v>
      </c>
      <c r="N68">
        <v>1.1111111111111112E-2</v>
      </c>
      <c r="O68" t="e">
        <v>#N/A</v>
      </c>
      <c r="P68">
        <v>24</v>
      </c>
      <c r="Q68" t="e">
        <f>NA()</f>
        <v>#N/A</v>
      </c>
      <c r="R68">
        <f t="shared" si="8"/>
        <v>55.407468213054131</v>
      </c>
      <c r="S68">
        <v>1.1111111111111112E-2</v>
      </c>
      <c r="T68" t="e">
        <v>#N/A</v>
      </c>
      <c r="U68">
        <v>24</v>
      </c>
      <c r="V68" t="e">
        <f>NA()</f>
        <v>#N/A</v>
      </c>
      <c r="W68">
        <f t="shared" si="9"/>
        <v>14.064335515302751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Sheet1</vt:lpstr>
      <vt:lpstr>Chart1</vt:lpstr>
      <vt:lpstr>Chart2</vt:lpstr>
      <vt:lpstr>Chart3</vt:lpstr>
      <vt:lpstr>Chart4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Winner,Lawrence Herman</dc:creator>
  <cp:lastModifiedBy>Winner,Lawrence Herman</cp:lastModifiedBy>
  <dcterms:created xsi:type="dcterms:W3CDTF">2019-01-24T13:37:50Z</dcterms:created>
  <dcterms:modified xsi:type="dcterms:W3CDTF">2019-01-24T14:32:34Z</dcterms:modified>
</cp:coreProperties>
</file>